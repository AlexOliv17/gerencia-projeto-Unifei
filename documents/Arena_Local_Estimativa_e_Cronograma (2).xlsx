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  <sheet state="visible" name="Atores" sheetId="2" r:id="rId5"/>
    <sheet state="visible" name="UC" sheetId="3" r:id="rId6"/>
    <sheet state="visible" name="Fatores" sheetId="4" r:id="rId7"/>
    <sheet state="visible" name="dadoshistoricos" sheetId="5" r:id="rId8"/>
    <sheet state="visible" name="Premissas" sheetId="6" r:id="rId9"/>
    <sheet state="visible" name="Cronograma" sheetId="7" r:id="rId10"/>
    <sheet state="visible" name="Releases" sheetId="8" r:id="rId11"/>
  </sheets>
  <definedNames>
    <definedName name="Atores">Atores!$B$13:$C$17</definedName>
    <definedName name="ITEC">Fatores!$E$22</definedName>
    <definedName name="FCAMB">Fatores!$G$36</definedName>
    <definedName name="CUC">UC!$D$13:$D$39</definedName>
    <definedName name="TotalDiasUteisProjeto">Releases!$E$11</definedName>
    <definedName name="PTA">Atores!$D$10</definedName>
    <definedName localSheetId="2" name="_Toc112831755">UC!$B$13</definedName>
    <definedName name="UC">UC!$A$12:$C$39</definedName>
    <definedName name="PTUC">UC!$D$10</definedName>
    <definedName name="FCTEC">Fatores!$E$22</definedName>
    <definedName name="TotalHorasProjeto">Geral!$J$21</definedName>
  </definedNames>
  <calcPr/>
  <extLst>
    <ext uri="GoogleSheetsCustomDataVersion2">
      <go:sheetsCustomData xmlns:go="http://customooxmlschemas.google.com/" r:id="rId12" roundtripDataChecksum="xuBkmInbCs3tst+K729144OSFwtHRIwWgLd/sW7YNu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3">
      <text>
        <t xml:space="preserve">======
ID#doco.WnApP_iy5UeNArFuSroXzg
Unknown Author    (2026-10-20 22:45:10)
Os atores podem ser os usuários que interagem com o sistema. Pode ser um hardware ou até mesmo outro software.
EXEMPLO
Em um software para educação a distância podemos ter os seguintes Atores:
1) Professor =  Complexo
2) Aluno = Complexo
3) Secretária= Complexo
4) Sistema Financeiro =  Simples</t>
      </text>
    </comment>
    <comment authorId="0" ref="B9">
      <text>
        <t xml:space="preserve">======
ID#doco.9uEwVXsFscQ80DErI1UTEQ
Ator Complexo    (2026-10-20 22:45:10)
É uma pessoa que interage através de Interface
Gráfica ou página Web.</t>
      </text>
    </comment>
    <comment authorId="0" ref="B8">
      <text>
        <t xml:space="preserve">======
ID#doco.GKL7QyADbU2_ySqlr0FauA
Ator Médio    (2026-10-20 22:45:10)
Representa um outro sistema que  interage através de protocolos ou quando há interação humana através de terminal.</t>
      </text>
    </comment>
    <comment authorId="0" ref="B7">
      <text>
        <t xml:space="preserve">======
ID#doco.xAQO9Ddw3p3PqM3rU6gwog
Ator Simples    (2026-10-20 22:45:10)
Representa um outro sistema com Interface definida de Programas.</t>
      </text>
    </comment>
  </commentList>
  <extLst>
    <ext uri="GoogleSheetsCustomDataVersion2">
      <go:sheetsCustomData xmlns:go="http://customooxmlschemas.google.com/" r:id="rId1" roundtripDataSignature="AMtx7miN9sh9r2qe1bz6qEATRvunFuyEL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2">
      <text>
        <t xml:space="preserve">======
ID#doco.GOMepR7Ojl4D3iQvxAhJmg
Fórmula para Identificar de forma automática a complexidade do UC    (2026-10-20 22:45:10)
=SE(C13&lt;4;"Simples";(SE(C13&gt;7;"Complexo";"Médio")))</t>
      </text>
    </comment>
    <comment authorId="0" ref="B9">
      <text>
        <t xml:space="preserve">======
ID#doco.KpvurXFIgO4z0wjocmkvpg
UC Complexo    (2026-10-20 22:45:10)
Acima de 5 entidades.</t>
      </text>
    </comment>
    <comment authorId="0" ref="B8">
      <text>
        <t xml:space="preserve">======
ID#doco.O3-KyHPpP-CoXqOCUADQtA
UC Médio    (2026-10-20 22:45:10)
Tem de 3 a 5 Entidades.</t>
      </text>
    </comment>
    <comment authorId="0" ref="B7">
      <text>
        <t xml:space="preserve">======
ID#doco.n55iOXXIWxwLYodbGv3f-g
UC Simples    (2026-10-20 22:45:10)
Tem até 3 Entidades</t>
      </text>
    </comment>
  </commentList>
  <extLst>
    <ext uri="GoogleSheetsCustomDataVersion2">
      <go:sheetsCustomData xmlns:go="http://customooxmlschemas.google.com/" r:id="rId1" roundtripDataSignature="AMtx7mgaRJ7Zby8kfomNHxIjHrIvZN3Vj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30">
      <text>
        <t xml:space="preserve">======
ID#doco.7NmhHUNS0f4-hMWI3ga8Dw
Unknown Author    (2026-10-20 22:45:10)
Alterado de 8 para 4 h/PCU para que o total do projeto seja 400 h (100 PCU x 4 h/PCU). A base histórica real fica em ~3,1 h/PCU.</t>
      </text>
    </comment>
  </commentList>
  <extLst>
    <ext uri="GoogleSheetsCustomDataVersion2">
      <go:sheetsCustomData xmlns:go="http://customooxmlschemas.google.com/" r:id="rId1" roundtripDataSignature="AMtx7mivzm+zkLBxin2JGJImZaIhn4SU7w=="/>
    </ext>
  </extLst>
</comments>
</file>

<file path=xl/sharedStrings.xml><?xml version="1.0" encoding="utf-8"?>
<sst xmlns="http://schemas.openxmlformats.org/spreadsheetml/2006/main" count="465" uniqueCount="272">
  <si>
    <t>Casos de Uso do Projeto</t>
  </si>
  <si>
    <t>Estimativa de Esforço de Projeto baseado em                                                                Pontos de Caso de Uso (vs 1.1)</t>
  </si>
  <si>
    <t>Atores do Projeto</t>
  </si>
  <si>
    <t>Projeto:</t>
  </si>
  <si>
    <t>Complexidade do Caso de Uso</t>
  </si>
  <si>
    <t>Fatores de Complexidade</t>
  </si>
  <si>
    <t>Arena Local</t>
  </si>
  <si>
    <t>Peso</t>
  </si>
  <si>
    <t>Qt. de UC</t>
  </si>
  <si>
    <t>Responsável:</t>
  </si>
  <si>
    <t>Alex, Cauã, Laura, Matheus</t>
  </si>
  <si>
    <t>Simples</t>
  </si>
  <si>
    <t>Complexidade do Ator</t>
  </si>
  <si>
    <t>Data:</t>
  </si>
  <si>
    <t>Influência Tecnológica</t>
  </si>
  <si>
    <t>Vs. do Documento:</t>
  </si>
  <si>
    <t>1.0</t>
  </si>
  <si>
    <t>Qt. de Atores</t>
  </si>
  <si>
    <t>Resultado da Estimativa</t>
  </si>
  <si>
    <t>ID</t>
  </si>
  <si>
    <t>Médio</t>
  </si>
  <si>
    <t>Descrição</t>
  </si>
  <si>
    <t>Esforço por fases</t>
  </si>
  <si>
    <t>Influência</t>
  </si>
  <si>
    <t>Justificativa / premissa</t>
  </si>
  <si>
    <t>Horas</t>
  </si>
  <si>
    <t>%</t>
  </si>
  <si>
    <t>T01</t>
  </si>
  <si>
    <t>Sistemas Distribuídos</t>
  </si>
  <si>
    <t>Complexo</t>
  </si>
  <si>
    <t>Total de Pontos de Caso de Uso(tamanho)</t>
  </si>
  <si>
    <t>Aplicação web cliente-servidor com serviço de envio de avisos</t>
  </si>
  <si>
    <t>Peso Total UC</t>
  </si>
  <si>
    <t>T02</t>
  </si>
  <si>
    <t>Tempo de resposta</t>
  </si>
  <si>
    <t>Filtros e tabelas precisam responder rápido</t>
  </si>
  <si>
    <t>T03</t>
  </si>
  <si>
    <t>Fase de Prospecção</t>
  </si>
  <si>
    <t>Grau de escolaridade do usuário final</t>
  </si>
  <si>
    <t>Público geral, sem exigência de formação</t>
  </si>
  <si>
    <t>Nome do RFC ou RFS</t>
  </si>
  <si>
    <t>T04</t>
  </si>
  <si>
    <t>Processamento interno complexo</t>
  </si>
  <si>
    <t>Nro Entidades</t>
  </si>
  <si>
    <t>Complexidade</t>
  </si>
  <si>
    <t>Cálculo de classificação a partir dos resultados</t>
  </si>
  <si>
    <t>Discriminar Transações(opcional)</t>
  </si>
  <si>
    <t>T05</t>
  </si>
  <si>
    <t>Reusabilidade do código em outras aplicações</t>
  </si>
  <si>
    <t>Cadastros básicos poderiam ser reaproveitados</t>
  </si>
  <si>
    <t>[RFC01] Manter Usuário (cadastro, perfil e autenticação)</t>
  </si>
  <si>
    <t>Homens/hora por PCU</t>
  </si>
  <si>
    <t>T06</t>
  </si>
  <si>
    <t>Facilidade de instalação</t>
  </si>
  <si>
    <t>Hospedagem web, sem instalação pelo usuário</t>
  </si>
  <si>
    <t>T07</t>
  </si>
  <si>
    <t>Usabilidade (facilidade operacional)</t>
  </si>
  <si>
    <t>Peso Total Atores =</t>
  </si>
  <si>
    <t>Fase de Análise</t>
  </si>
  <si>
    <t>Uso frequente pelo celular por público amador</t>
  </si>
  <si>
    <t>Incluir, alterar, consultar, excluir usuário; login/logout. Entidades: Usuário, Perfil, Cidade</t>
  </si>
  <si>
    <t>T08</t>
  </si>
  <si>
    <t>Portabilidade</t>
  </si>
  <si>
    <t>Acesso por navegador, desktop e celular</t>
  </si>
  <si>
    <t>[RFC02] Manter Organizador / Liga</t>
  </si>
  <si>
    <t>Incluir, alterar, consultar, excluir organizador. Entidades: Organizador, Usuário, Cidade, Modalidade</t>
  </si>
  <si>
    <t>T09</t>
  </si>
  <si>
    <t>Facilidade de manutenção</t>
  </si>
  <si>
    <t>[RFC03] Manter Campeonato (com filtros por cidade, modalidade, categoria e data)</t>
  </si>
  <si>
    <t>Código organizado por casos de uso</t>
  </si>
  <si>
    <t>Incluir, alterar, consultar (filtros), excluir. Entidades: Campeonato, Organizador, Modalidade, Categoria, Cidade, Local</t>
  </si>
  <si>
    <t>T10</t>
  </si>
  <si>
    <t>Concorrência</t>
  </si>
  <si>
    <t>Fase de Projeto</t>
  </si>
  <si>
    <t>[RFC04] Manter Equipe</t>
  </si>
  <si>
    <t>Vários usuários consultando e inscrevendo ao mesmo tempo</t>
  </si>
  <si>
    <t>Incluir, alterar, consultar, excluir equipe. Entidades: Equipe, Usuário (responsável), Modalidade, Categoria, Cidade</t>
  </si>
  <si>
    <t>[RFC05] Manter Partida (tabela de jogos)</t>
  </si>
  <si>
    <t>T11</t>
  </si>
  <si>
    <t>Incluir, alterar, consultar, excluir partida. Entidades: Partida, Campeonato, Equipe, Local</t>
  </si>
  <si>
    <t>Características especiais de segurança</t>
  </si>
  <si>
    <t>Login e perfis de acesso (organizador, usuário, admin)</t>
  </si>
  <si>
    <t>[RFC06] Manter Resultado de Partida</t>
  </si>
  <si>
    <t>Registrar, alterar, consultar, excluir resultado. Entidades: Resultado, Partida, Equipe, Campeonato</t>
  </si>
  <si>
    <t>Atores</t>
  </si>
  <si>
    <t>T12</t>
  </si>
  <si>
    <t>Acesso direto para terceiros</t>
  </si>
  <si>
    <t>Fase de Planejamento</t>
  </si>
  <si>
    <t>[RFC07] Manter Inscrição de Equipe em Campeonato</t>
  </si>
  <si>
    <t>Apenas o serviço de e-mail/push como integração</t>
  </si>
  <si>
    <t>Inscrever, alterar, consultar, cancelar inscrição. Entidades: Inscrição, Equipe, Campeonato, Categoria, Usuário</t>
  </si>
  <si>
    <t>Organizador / Liga amadora</t>
  </si>
  <si>
    <t>T13</t>
  </si>
  <si>
    <t>[RFC08] Manter Aviso de Evento (eventos próximos)</t>
  </si>
  <si>
    <t>Facilidades especiais de treinamento</t>
  </si>
  <si>
    <t>Incluir, alterar, consultar, excluir aviso; dispara envio. Entidades: Aviso, Usuário, Campeonato, Cidade, Modalidade</t>
  </si>
  <si>
    <t>Interface simples, sem treinamento formal</t>
  </si>
  <si>
    <t>Fase de Desenvolvimento</t>
  </si>
  <si>
    <t>[RFR01] Relatório de Tabela de Jogos e Classificação</t>
  </si>
  <si>
    <t>Consulta/relatório por campeonato. Entidades: Campeonato, Partida, Resultado, Equipe, Categoria</t>
  </si>
  <si>
    <t>Fator de Complexidade Técnica</t>
  </si>
  <si>
    <t>Usuário (torcedor, atleta ou capitão de equipe)</t>
  </si>
  <si>
    <t>Processo de Monitoramento e Controle</t>
  </si>
  <si>
    <t>Administrador do sistema</t>
  </si>
  <si>
    <t>Fase de Fechamento</t>
  </si>
  <si>
    <t>Serviço de envio de avisos (e-mail/push)</t>
  </si>
  <si>
    <t>Instruções para realizar a estimativa do Projeto:</t>
  </si>
  <si>
    <t>Processo Controle de mudanças</t>
  </si>
  <si>
    <t>Total de horas do Projeto</t>
  </si>
  <si>
    <t>Total</t>
  </si>
  <si>
    <t>1) Preencha a Planilha Atores indicando os atores(usuários do sistema) e a sua complexidade.</t>
  </si>
  <si>
    <t>2) Preencha a Planilha UC indicando os casos de uso e quantidade de transações.</t>
  </si>
  <si>
    <t>3) Preencha a Planilha Fatores, com os fatores de complexidade ambiental e técnicos do Projeto.</t>
  </si>
  <si>
    <t>4) Após a execução dos passos anteriores, os resultados finais encontram-se na Planilha Geral.</t>
  </si>
  <si>
    <t>Obs.:</t>
  </si>
  <si>
    <t>Existem informações ocultas na células que possuem marcação(pontos coloridos). Posicione o mouse sobre a celula para visualizar a informação.</t>
  </si>
  <si>
    <t>Influência Ambiental</t>
  </si>
  <si>
    <t>F01</t>
  </si>
  <si>
    <t>Familiaridade com o Processo de Desenvolvimento de Software</t>
  </si>
  <si>
    <t>Premissa: equipe com conhecimento básico do processo (ajustar)</t>
  </si>
  <si>
    <t>F02</t>
  </si>
  <si>
    <t>Experiência na Aplicação</t>
  </si>
  <si>
    <t>Premissa: primeiro projeto neste domínio (ajustar)</t>
  </si>
  <si>
    <t>F03</t>
  </si>
  <si>
    <t>Experiência em Programação Orientada a Objetos</t>
  </si>
  <si>
    <t>Premissa: experiência intermediária em POO (ajustar)</t>
  </si>
  <si>
    <t>F04</t>
  </si>
  <si>
    <t>Capacidade do Líder de Projeto</t>
  </si>
  <si>
    <t>Premissa: liderança intermediária (ajustar)</t>
  </si>
  <si>
    <t>F05</t>
  </si>
  <si>
    <t>Motivação</t>
  </si>
  <si>
    <t>Premissa: equipe motivada (ajustar)</t>
  </si>
  <si>
    <t>F06</t>
  </si>
  <si>
    <t>Requisitos estáveis</t>
  </si>
  <si>
    <t>Escopo fechado por release, com requisitos estáveis</t>
  </si>
  <si>
    <t>F07</t>
  </si>
  <si>
    <t>Trabalhadores com dedicação parcial</t>
  </si>
  <si>
    <t>Premissa: equipe com dedicação parcial (ajustar)</t>
  </si>
  <si>
    <t>F08</t>
  </si>
  <si>
    <t>Dificuldade da Linguagem de Programação</t>
  </si>
  <si>
    <t>Premissa: linguagem de dificuldade moderada (ajustar)</t>
  </si>
  <si>
    <t>Fator de Complexidade Ambiental</t>
  </si>
  <si>
    <t>Base histórica de Projetos</t>
  </si>
  <si>
    <t>Projetos</t>
  </si>
  <si>
    <t>Tamanho</t>
  </si>
  <si>
    <t>Horas Reais</t>
  </si>
  <si>
    <t>Prospecção</t>
  </si>
  <si>
    <t>Análise e Projeto</t>
  </si>
  <si>
    <t>Planejamento</t>
  </si>
  <si>
    <t>Desenvolvimento</t>
  </si>
  <si>
    <t>Fechamento</t>
  </si>
  <si>
    <t>Mon.Controle</t>
  </si>
  <si>
    <t>Cont. Mud.</t>
  </si>
  <si>
    <t>Produtividade</t>
  </si>
  <si>
    <t>Projeto 01</t>
  </si>
  <si>
    <t>Projeto 02</t>
  </si>
  <si>
    <t>Projeto 03</t>
  </si>
  <si>
    <t>Projeto 04</t>
  </si>
  <si>
    <t>Total de horas por fase</t>
  </si>
  <si>
    <t>Produtividade média</t>
  </si>
  <si>
    <t>% de esforço por fases</t>
  </si>
  <si>
    <t>Projeto atual (estimativa vigente, vinda da aba Geral) - não entra nos totais nem na média acima</t>
  </si>
  <si>
    <t>Arena Local (estimado)</t>
  </si>
  <si>
    <t>% de esforço por fases (projeto atual)</t>
  </si>
  <si>
    <t>Produtividade média da base (Projetos 01 a 04), calculada</t>
  </si>
  <si>
    <t>Obs.: a produtividade adotada (L30 = 4 h/PCU, valor azul) fica acima da média calculada da base (~3,1 h/PCU), o que deixa o projeto com folga. As horas reais dos Projetos 01 a 04 não foram alteradas.</t>
  </si>
  <si>
    <t>Premissas e parâmetros do cronograma</t>
  </si>
  <si>
    <t>Horas produtivas por pessoa/dia</t>
  </si>
  <si>
    <t>% da fase de Desenvolvimento para implementação</t>
  </si>
  <si>
    <t>% da fase de Desenvolvimento para testes (Selenium) e bugs</t>
  </si>
  <si>
    <t>Data de início do projeto</t>
  </si>
  <si>
    <t>Feriados (excluídos dos dias úteis)</t>
  </si>
  <si>
    <t>Finados (segunda-feira)</t>
  </si>
  <si>
    <t>Cronograma do Projeto Arena Local</t>
  </si>
  <si>
    <t>Legenda de status (coluna M e barras do Gantt):</t>
  </si>
  <si>
    <t>Verde = Pronto</t>
  </si>
  <si>
    <t>Amarelo = Planejado</t>
  </si>
  <si>
    <t>Vermelho = Atrasado</t>
  </si>
  <si>
    <t>Marco</t>
  </si>
  <si>
    <t>Releases e conferência do cronograma</t>
  </si>
  <si>
    <t>Release 00 entregue em 20/10; Releases 01 a 04 com a mesma data de entrega (19/11). Conferência compara o planejado no Cronograma com o exigido.</t>
  </si>
  <si>
    <t>Release</t>
  </si>
  <si>
    <t>Início do período</t>
  </si>
  <si>
    <t>Início da janela</t>
  </si>
  <si>
    <t>Entrega (fim)</t>
  </si>
  <si>
    <t>Dias úteis do período</t>
  </si>
  <si>
    <t>Horas planejadas</t>
  </si>
  <si>
    <t>Pessoas necessárias (tempo integral)</t>
  </si>
  <si>
    <t>CRUDs acumulados exigidos</t>
  </si>
  <si>
    <t>CRUDs acumulados planejados</t>
  </si>
  <si>
    <t>Relatórios acumulados exigidos</t>
  </si>
  <si>
    <t>Relatórios acumulados planejados</t>
  </si>
  <si>
    <t>Conferência</t>
  </si>
  <si>
    <t>Entregas previstas</t>
  </si>
  <si>
    <t>R00</t>
  </si>
  <si>
    <t>DRE, Estimativa Definitiva de Tamanho, Cronograma, Matriz de Rastreabilidade Bidirecional e Plano de Projeto</t>
  </si>
  <si>
    <t>R01</t>
  </si>
  <si>
    <t>2 CRUDs + cronograma atualizado + baseline no SVN/GIT + testes Selenium + bugs no Mantis/Bugzilla</t>
  </si>
  <si>
    <t>R02</t>
  </si>
  <si>
    <t>4 CRUDs + cronograma + baseline no SVN/GIT + testes Selenium + bugs no Mantis/Bugzilla</t>
  </si>
  <si>
    <t>R03</t>
  </si>
  <si>
    <t>6 CRUDs + 1 relatório + cronograma + baseline no SVN/GIT + testes Selenium + bugs no Mantis/Bugzilla</t>
  </si>
  <si>
    <t>R04</t>
  </si>
  <si>
    <t>8 CRUDs + 1 relatório + cronograma + baseline no SVN/GIT + testes Selenium + bugs no Mantis/Bugzilla</t>
  </si>
  <si>
    <t>Atividade</t>
  </si>
  <si>
    <t>Fase</t>
  </si>
  <si>
    <t>Tipo</t>
  </si>
  <si>
    <t>Início</t>
  </si>
  <si>
    <t>Fim</t>
  </si>
  <si>
    <t>Dias úteis</t>
  </si>
  <si>
    <t>% da fase</t>
  </si>
  <si>
    <t>Pts UC</t>
  </si>
  <si>
    <t>Pts release (testes)</t>
  </si>
  <si>
    <t>Status</t>
  </si>
  <si>
    <t>Conferência por fase (horas da estimativa x horas alocadas no cronograma)</t>
  </si>
  <si>
    <t>Horas (aba Geral)</t>
  </si>
  <si>
    <t>Horas no cronograma</t>
  </si>
  <si>
    <t>% alocado</t>
  </si>
  <si>
    <t>Release 00 - Documentação (18/10 a 20/10)</t>
  </si>
  <si>
    <t>Levantamento de escopo, visão e partes interessadas</t>
  </si>
  <si>
    <t>Documento</t>
  </si>
  <si>
    <t>Pronto</t>
  </si>
  <si>
    <t>Identificação inicial de atores e funcionalidades</t>
  </si>
  <si>
    <t>Elaborar DRE (requisitos funcionais RFC/RFS)</t>
  </si>
  <si>
    <t>Matriz de Rastreabilidade Bidirecional</t>
  </si>
  <si>
    <t>Estimativa definitiva de tamanho (PCU)</t>
  </si>
  <si>
    <t>Cronograma do projeto</t>
  </si>
  <si>
    <t>Plano de projeto</t>
  </si>
  <si>
    <t>Definir rotina de acompanhamento e métricas</t>
  </si>
  <si>
    <t>Gestão</t>
  </si>
  <si>
    <t>Release 01 - 2 CRUDs (21/10 a 19/11)</t>
  </si>
  <si>
    <t>Configurar repositório (SVN/GIT), Mantis/Bugzilla e Selenium</t>
  </si>
  <si>
    <t>Planejado</t>
  </si>
  <si>
    <t>Arquitetura, tecnologias e padrões de projeto</t>
  </si>
  <si>
    <t>Projeto</t>
  </si>
  <si>
    <t>Modelo de dados e protótipos de tela (RFC01, RFC02)</t>
  </si>
  <si>
    <t>Refinar requisitos e atualizar MRB (R01)</t>
  </si>
  <si>
    <t>Implementar [RFC01] Manter Usuário</t>
  </si>
  <si>
    <t>CRUD</t>
  </si>
  <si>
    <t>Implementar [RFC02] Manter Campeonato</t>
  </si>
  <si>
    <t>Testes com Selenium e registro de bugs (Mantis/Bugzilla) - R01</t>
  </si>
  <si>
    <t>Testes</t>
  </si>
  <si>
    <t>Atualizar cronograma com dados de execução e salvar baseline (SVN/GIT) - R01</t>
  </si>
  <si>
    <t>Controle de mudanças - R01</t>
  </si>
  <si>
    <t>Release 02 - 4 CRUDs acumulados (30/10 a 19/11)</t>
  </si>
  <si>
    <t>Modelo de dados e protótipos de tela (RFC03, RFC04)</t>
  </si>
  <si>
    <t>Refinar requisitos e atualizar MRB (R02)</t>
  </si>
  <si>
    <t>Implementar [RFC03] Manter Campeonato</t>
  </si>
  <si>
    <t>Implementar [RFC04] Manter Equipe</t>
  </si>
  <si>
    <t>Testes com Selenium e registro de bugs (Mantis/Bugzilla) - R02</t>
  </si>
  <si>
    <t>Atualizar cronograma com dados de execução e salvar baseline (SVN/GIT) - R02</t>
  </si>
  <si>
    <t>Controle de mudanças - R02</t>
  </si>
  <si>
    <t>Release 03 - 6 CRUDs acumulados + 1 relatório (06/11 a 19/11)</t>
  </si>
  <si>
    <t>Modelo de dados e protótipos de tela (RFC05, RFC06, RFR01)</t>
  </si>
  <si>
    <t>Refinar requisitos e atualizar MRB (R03)</t>
  </si>
  <si>
    <t>Implementar [RFC05] Manter Partida</t>
  </si>
  <si>
    <t>Implementar [RFC06] Manter Resultado de Partida</t>
  </si>
  <si>
    <t>Implementar [RFR01] Relatório de Tabela de Jogos e Classificação</t>
  </si>
  <si>
    <t>Relatório</t>
  </si>
  <si>
    <t>Testes com Selenium e registro de bugs (Mantis/Bugzilla) - R03</t>
  </si>
  <si>
    <t>Atualizar cronograma com dados de execução e salvar baseline (SVN/GIT) - R03</t>
  </si>
  <si>
    <t>Controle de mudanças - R03</t>
  </si>
  <si>
    <t>Release 04 - 8 CRUDs acumulados + 1 relatório (13/11 a 19/11)</t>
  </si>
  <si>
    <t>Modelo de dados e protótipos de tela (RFC07, RFC08)</t>
  </si>
  <si>
    <t>Refinar requisitos e atualizar MRB (R04)</t>
  </si>
  <si>
    <t>Implementar [RFC07] Manter Inscrição de Equipe</t>
  </si>
  <si>
    <t>Implementar [RFC08] Manter Aviso de Evento</t>
  </si>
  <si>
    <t>Testes com Selenium (regressão final) e registro de bugs - R04</t>
  </si>
  <si>
    <t>Atualizar cronograma com dados de execução e salvar baseline (SVN/GIT) - R04</t>
  </si>
  <si>
    <t>Controle de mudanças - R04</t>
  </si>
  <si>
    <t>Relatório final e lições aprendidas</t>
  </si>
  <si>
    <t>Encerramento: baseline final e termo de aceite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</si>
</sst>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UC&quot;00#"/>
    <numFmt numFmtId="165" formatCode="0.0%"/>
    <numFmt numFmtId="166" formatCode="0.0"/>
    <numFmt numFmtId="167" formatCode="dd/mm"/>
  </numFmts>
  <fonts count="27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theme="1"/>
      <name val="Arial"/>
    </font>
    <font/>
    <font>
      <b/>
      <sz val="10.0"/>
      <color theme="1"/>
      <name val="Arial"/>
    </font>
    <font>
      <sz val="12.0"/>
      <color theme="1"/>
      <name val="Arial"/>
    </font>
    <font>
      <sz val="10.0"/>
      <color rgb="FF0000FF"/>
      <name val="Arial"/>
    </font>
    <font>
      <sz val="10.0"/>
      <color rgb="FFFF0000"/>
      <name val="Arial"/>
    </font>
    <font>
      <sz val="9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b/>
      <i/>
      <sz val="14.0"/>
      <color theme="1"/>
      <name val="Arial"/>
    </font>
    <font>
      <b/>
      <i/>
      <sz val="12.0"/>
      <color theme="1"/>
      <name val="Arial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008000"/>
      <name val="Arial"/>
    </font>
    <font>
      <i/>
      <sz val="9.0"/>
      <color theme="1"/>
      <name val="Arial"/>
    </font>
    <font>
      <b/>
      <sz val="14.0"/>
      <color theme="1"/>
      <name val="Arial"/>
    </font>
    <font>
      <u/>
      <sz val="10.0"/>
      <color theme="1"/>
      <name val="Arial"/>
    </font>
    <font>
      <b/>
      <sz val="9.0"/>
      <color theme="1"/>
      <name val="Arial"/>
    </font>
    <font>
      <b/>
      <sz val="9.0"/>
      <color rgb="FFFFFFFF"/>
      <name val="Arial"/>
    </font>
    <font>
      <b/>
      <sz val="9.0"/>
      <color rgb="FF000000"/>
      <name val="Arial"/>
    </font>
    <font>
      <b/>
      <sz val="8.0"/>
      <color theme="1"/>
      <name val="Arial"/>
    </font>
    <font>
      <b/>
      <sz val="8.0"/>
      <color rgb="FFC00000"/>
      <name val="Arial"/>
    </font>
    <font>
      <sz val="9.0"/>
      <color rgb="FF0000FF"/>
      <name val="Arial"/>
    </font>
    <font>
      <b/>
      <sz val="11.0"/>
      <color theme="1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3399"/>
        <bgColor rgb="FF333399"/>
      </patternFill>
    </fill>
    <fill>
      <patternFill patternType="solid">
        <fgColor rgb="FF003366"/>
        <bgColor rgb="FF003366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DDEBF7"/>
        <bgColor rgb="FFDDEBF7"/>
      </patternFill>
    </fill>
  </fills>
  <borders count="77">
    <border/>
    <border>
      <left/>
      <right/>
      <top/>
      <bottom/>
    </border>
    <border>
      <left/>
      <top/>
      <bottom style="double">
        <color rgb="FF000000"/>
      </bottom>
    </border>
    <border>
      <top/>
      <bottom style="double">
        <color rgb="FF000000"/>
      </bottom>
    </border>
    <border>
      <right/>
      <top/>
      <bottom style="double">
        <color rgb="FF000000"/>
      </bottom>
    </border>
    <border>
      <left/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  <bottom style="medium">
        <color rgb="FF000000"/>
      </bottom>
    </border>
    <border>
      <bottom style="medium">
        <color rgb="FF000000"/>
      </bottom>
    </border>
    <border>
      <right/>
      <bottom style="medium">
        <color rgb="FF000000"/>
      </bottom>
    </border>
    <border>
      <left/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/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ill="1" applyFont="1">
      <alignment vertical="center"/>
    </xf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2" fontId="2" numFmtId="49" xfId="0" applyAlignment="1" applyBorder="1" applyFill="1" applyFont="1" applyNumberFormat="1">
      <alignment horizontal="center" shrinkToFit="0" vertical="center" wrapText="1"/>
    </xf>
    <xf borderId="1" fillId="2" fontId="2" numFmtId="0" xfId="0" applyBorder="1" applyFill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2" fontId="2" numFmtId="0" xfId="0" applyAlignment="1" applyBorder="1" applyFill="1" applyFont="1">
      <alignment horizontal="left" vertical="center"/>
    </xf>
    <xf borderId="12" fillId="0" fontId="3" numFmtId="0" xfId="0" applyBorder="1" applyFont="1"/>
    <xf borderId="13" fillId="2" fontId="4" numFmtId="0" xfId="0" applyAlignment="1" applyBorder="1" applyFill="1" applyFont="1">
      <alignment horizontal="center"/>
    </xf>
    <xf borderId="11" fillId="2" fontId="5" numFmtId="0" xfId="0" applyAlignment="1" applyBorder="1" applyFill="1" applyFont="1">
      <alignment horizontal="left" vertical="center"/>
    </xf>
    <xf borderId="14" fillId="2" fontId="4" numFmtId="0" xfId="0" applyAlignment="1" applyBorder="1" applyFill="1" applyFont="1">
      <alignment horizontal="center"/>
    </xf>
    <xf borderId="15" fillId="0" fontId="3" numFmtId="0" xfId="0" applyBorder="1" applyFont="1"/>
    <xf borderId="16" fillId="2" fontId="4" numFmtId="0" xfId="0" applyAlignment="1" applyBorder="1" applyFill="1" applyFont="1">
      <alignment horizontal="center"/>
    </xf>
    <xf borderId="1" fillId="2" fontId="4" numFmtId="0" xfId="0" applyAlignment="1" applyBorder="1" applyFill="1" applyFont="1">
      <alignment horizontal="center"/>
    </xf>
    <xf borderId="11" fillId="2" fontId="4" numFmtId="0" xfId="0" applyAlignment="1" applyBorder="1" applyFill="1" applyFont="1">
      <alignment horizontal="left" vertical="center"/>
    </xf>
    <xf borderId="17" fillId="2" fontId="1" numFmtId="0" xfId="0" applyAlignment="1" applyBorder="1" applyFill="1" applyFont="1">
      <alignment horizontal="center"/>
    </xf>
    <xf borderId="11" fillId="2" fontId="1" numFmtId="0" xfId="0" applyAlignment="1" applyBorder="1" applyFill="1" applyFont="1">
      <alignment horizontal="left" vertical="center"/>
    </xf>
    <xf borderId="18" fillId="2" fontId="1" numFmtId="0" xfId="0" applyAlignment="1" applyBorder="1" applyFill="1" applyFont="1">
      <alignment horizontal="center"/>
    </xf>
    <xf borderId="11" fillId="2" fontId="4" numFmtId="0" xfId="0" applyAlignment="1" applyBorder="1" applyFill="1" applyFont="1">
      <alignment horizontal="left"/>
    </xf>
    <xf borderId="1" fillId="2" fontId="1" numFmtId="14" xfId="0" applyAlignment="1" applyBorder="1" applyFill="1" applyFont="1" applyNumberFormat="1">
      <alignment vertical="center"/>
    </xf>
    <xf borderId="1" fillId="2" fontId="1" numFmtId="0" xfId="0" applyAlignment="1" applyBorder="1" applyFill="1" applyFont="1">
      <alignment vertical="center"/>
    </xf>
    <xf borderId="13" fillId="2" fontId="4" numFmtId="0" xfId="0" applyBorder="1" applyFill="1" applyFont="1"/>
    <xf borderId="1" fillId="2" fontId="6" numFmtId="0" xfId="0" applyBorder="1" applyFill="1" applyFont="1"/>
    <xf borderId="16" fillId="2" fontId="4" numFmtId="0" xfId="0" applyBorder="1" applyFill="1" applyFont="1"/>
    <xf borderId="11" fillId="2" fontId="7" numFmtId="0" xfId="0" applyBorder="1" applyFill="1" applyFont="1"/>
    <xf borderId="19" fillId="3" fontId="4" numFmtId="0" xfId="0" applyAlignment="1" applyBorder="1" applyFill="1" applyFont="1">
      <alignment horizontal="left"/>
    </xf>
    <xf borderId="1" fillId="2" fontId="7" numFmtId="0" xfId="0" applyBorder="1" applyFill="1" applyFont="1"/>
    <xf borderId="20" fillId="0" fontId="3" numFmtId="0" xfId="0" applyBorder="1" applyFont="1"/>
    <xf borderId="21" fillId="2" fontId="1" numFmtId="0" xfId="0" applyAlignment="1" applyBorder="1" applyFill="1" applyFont="1">
      <alignment horizontal="center"/>
    </xf>
    <xf borderId="22" fillId="0" fontId="3" numFmtId="0" xfId="0" applyBorder="1" applyFont="1"/>
    <xf borderId="1" fillId="2" fontId="1" numFmtId="0" xfId="0" applyAlignment="1" applyBorder="1" applyFill="1" applyFont="1">
      <alignment horizontal="center"/>
    </xf>
    <xf borderId="23" fillId="2" fontId="1" numFmtId="0" xfId="0" applyAlignment="1" applyBorder="1" applyFill="1" applyFont="1">
      <alignment horizontal="center"/>
    </xf>
    <xf borderId="24" fillId="3" fontId="4" numFmtId="0" xfId="0" applyAlignment="1" applyBorder="1" applyFill="1" applyFont="1">
      <alignment horizontal="center"/>
    </xf>
    <xf borderId="25" fillId="4" fontId="4" numFmtId="0" xfId="0" applyAlignment="1" applyBorder="1" applyFill="1" applyFont="1">
      <alignment horizontal="center"/>
    </xf>
    <xf borderId="26" fillId="2" fontId="1" numFmtId="0" xfId="0" applyAlignment="1" applyBorder="1" applyFill="1" applyFont="1">
      <alignment horizontal="center"/>
    </xf>
    <xf borderId="27" fillId="0" fontId="3" numFmtId="0" xfId="0" applyBorder="1" applyFont="1"/>
    <xf borderId="29" fillId="0" fontId="3" numFmtId="0" xfId="0" applyBorder="1" applyFont="1"/>
    <xf borderId="28" fillId="2" fontId="1" numFmtId="0" xfId="0" applyAlignment="1" applyBorder="1" applyFill="1" applyFont="1">
      <alignment horizontal="center"/>
    </xf>
    <xf borderId="25" fillId="4" fontId="4" numFmtId="0" xfId="0" applyBorder="1" applyFill="1" applyFont="1"/>
    <xf borderId="25" fillId="2" fontId="1" numFmtId="0" xfId="0" applyAlignment="1" applyBorder="1" applyFill="1" applyFont="1">
      <alignment horizontal="center"/>
    </xf>
    <xf borderId="24" fillId="3" fontId="4" numFmtId="0" xfId="0" applyAlignment="1" applyBorder="1" applyFill="1" applyFont="1">
      <alignment horizontal="left"/>
    </xf>
    <xf borderId="1" fillId="2" fontId="4" numFmtId="0" xfId="0" applyBorder="1" applyFill="1" applyFont="1"/>
    <xf borderId="30" fillId="0" fontId="3" numFmtId="0" xfId="0" applyBorder="1" applyFont="1"/>
    <xf borderId="31" fillId="2" fontId="1" numFmtId="0" xfId="0" applyAlignment="1" applyBorder="1" applyFill="1" applyFont="1">
      <alignment horizontal="center"/>
    </xf>
    <xf borderId="16" fillId="3" fontId="4" numFmtId="0" xfId="0" applyAlignment="1" applyBorder="1" applyFill="1" applyFont="1">
      <alignment horizontal="center"/>
    </xf>
    <xf borderId="32" fillId="2" fontId="1" numFmtId="0" xfId="0" applyAlignment="1" applyBorder="1" applyFill="1" applyFont="1">
      <alignment horizontal="center"/>
    </xf>
    <xf borderId="25" fillId="2" fontId="1" numFmtId="0" xfId="0" applyBorder="1" applyFill="1" applyFont="1"/>
    <xf borderId="33" fillId="2" fontId="1" numFmtId="0" xfId="0" applyAlignment="1" applyBorder="1" applyFill="1" applyFont="1">
      <alignment horizontal="center"/>
    </xf>
    <xf borderId="34" fillId="2" fontId="1" numFmtId="0" xfId="0" applyAlignment="1" applyBorder="1" applyFill="1" applyFont="1">
      <alignment horizontal="left"/>
    </xf>
    <xf borderId="35" fillId="0" fontId="3" numFmtId="0" xfId="0" applyBorder="1" applyFont="1"/>
    <xf borderId="36" fillId="0" fontId="3" numFmtId="0" xfId="0" applyBorder="1" applyFont="1"/>
    <xf borderId="1" fillId="2" fontId="8" numFmtId="0" xfId="0" applyBorder="1" applyFill="1" applyFont="1"/>
    <xf borderId="37" fillId="2" fontId="4" numFmtId="0" xfId="0" applyAlignment="1" applyBorder="1" applyFill="1" applyFont="1">
      <alignment horizontal="center"/>
    </xf>
    <xf borderId="38" fillId="2" fontId="4" numFmtId="0" xfId="0" applyAlignment="1" applyBorder="1" applyFill="1" applyFont="1">
      <alignment horizontal="center"/>
    </xf>
    <xf borderId="11" fillId="2" fontId="1" numFmtId="0" xfId="0" applyAlignment="1" applyBorder="1" applyFill="1" applyFont="1">
      <alignment horizontal="center"/>
    </xf>
    <xf borderId="39" fillId="2" fontId="1" numFmtId="0" xfId="0" applyAlignment="1" applyBorder="1" applyFill="1" applyFont="1">
      <alignment horizontal="center"/>
    </xf>
    <xf borderId="40" fillId="2" fontId="4" numFmtId="0" xfId="0" applyBorder="1" applyFill="1" applyFont="1"/>
    <xf borderId="41" fillId="2" fontId="4" numFmtId="0" xfId="0" applyBorder="1" applyFill="1" applyFont="1"/>
    <xf borderId="41" fillId="2" fontId="4" numFmtId="0" xfId="0" applyAlignment="1" applyBorder="1" applyFill="1" applyFont="1">
      <alignment horizontal="left"/>
    </xf>
    <xf borderId="42" fillId="2" fontId="1" numFmtId="2" xfId="0" applyAlignment="1" applyBorder="1" applyFill="1" applyFont="1" applyNumberFormat="1">
      <alignment horizontal="center"/>
    </xf>
    <xf borderId="43" fillId="2" fontId="4" numFmtId="0" xfId="0" applyBorder="1" applyFill="1" applyFont="1"/>
    <xf borderId="44" fillId="2" fontId="1" numFmtId="0" xfId="0" applyAlignment="1" applyBorder="1" applyFill="1" applyFont="1">
      <alignment horizontal="center"/>
    </xf>
    <xf borderId="28" fillId="2" fontId="1" numFmtId="164" xfId="0" applyBorder="1" applyFill="1" applyFont="1" applyNumberFormat="1"/>
    <xf borderId="45" fillId="0" fontId="1" numFmtId="165" xfId="0" applyAlignment="1" applyBorder="1" applyFont="1" applyNumberFormat="1">
      <alignment horizontal="center"/>
    </xf>
    <xf borderId="28" fillId="2" fontId="8" numFmtId="0" xfId="0" applyAlignment="1" applyBorder="1" applyFill="1" applyFont="1">
      <alignment shrinkToFit="0" vertical="center" wrapText="1"/>
    </xf>
    <xf borderId="46" fillId="2" fontId="1" numFmtId="0" xfId="0" applyAlignment="1" applyBorder="1" applyFill="1" applyFont="1">
      <alignment horizontal="left"/>
    </xf>
    <xf borderId="28" fillId="2" fontId="1" numFmtId="0" xfId="0" applyAlignment="1" applyBorder="1" applyFill="1" applyFont="1">
      <alignment shrinkToFit="0" vertical="center" wrapText="1"/>
    </xf>
    <xf borderId="47" fillId="0" fontId="3" numFmtId="0" xfId="0" applyBorder="1" applyFont="1"/>
    <xf borderId="48" fillId="2" fontId="1" numFmtId="0" xfId="0" applyAlignment="1" applyBorder="1" applyFill="1" applyFont="1">
      <alignment horizontal="center"/>
    </xf>
    <xf borderId="49" fillId="0" fontId="3" numFmtId="0" xfId="0" applyBorder="1" applyFont="1"/>
    <xf borderId="48" fillId="2" fontId="1" numFmtId="166" xfId="0" applyAlignment="1" applyBorder="1" applyFill="1" applyFont="1" applyNumberFormat="1">
      <alignment horizontal="center"/>
    </xf>
    <xf borderId="50" fillId="2" fontId="4" numFmtId="0" xfId="0" applyBorder="1" applyFill="1" applyFont="1"/>
    <xf borderId="51" fillId="2" fontId="1" numFmtId="0" xfId="0" applyAlignment="1" applyBorder="1" applyFill="1" applyFont="1">
      <alignment horizontal="left"/>
    </xf>
    <xf borderId="52" fillId="0" fontId="3" numFmtId="0" xfId="0" applyBorder="1" applyFont="1"/>
    <xf borderId="53" fillId="0" fontId="3" numFmtId="0" xfId="0" applyBorder="1" applyFont="1"/>
    <xf borderId="54" fillId="2" fontId="1" numFmtId="2" xfId="0" applyAlignment="1" applyBorder="1" applyFill="1" applyFont="1" applyNumberFormat="1">
      <alignment horizontal="center"/>
    </xf>
    <xf borderId="55" fillId="0" fontId="1" numFmtId="165" xfId="0" applyAlignment="1" applyBorder="1" applyFont="1" applyNumberFormat="1">
      <alignment horizontal="center"/>
    </xf>
    <xf borderId="56" fillId="2" fontId="1" numFmtId="0" xfId="0" applyAlignment="1" applyBorder="1" applyFill="1" applyFont="1">
      <alignment horizontal="left"/>
    </xf>
    <xf borderId="57" fillId="0" fontId="3" numFmtId="0" xfId="0" applyBorder="1" applyFont="1"/>
    <xf borderId="58" fillId="0" fontId="3" numFmtId="0" xfId="0" applyBorder="1" applyFont="1"/>
    <xf borderId="55" fillId="0" fontId="1" numFmtId="10" xfId="0" applyAlignment="1" applyBorder="1" applyFont="1" applyNumberFormat="1">
      <alignment horizontal="center"/>
    </xf>
    <xf borderId="25" fillId="2" fontId="4" numFmtId="0" xfId="0" applyBorder="1" applyFill="1" applyFont="1"/>
    <xf borderId="11" fillId="2" fontId="1" numFmtId="0" xfId="0" applyAlignment="1" applyBorder="1" applyFill="1" applyFont="1">
      <alignment horizontal="left"/>
    </xf>
    <xf borderId="59" fillId="2" fontId="1" numFmtId="0" xfId="0" applyAlignment="1" applyBorder="1" applyFill="1" applyFont="1">
      <alignment horizontal="left"/>
    </xf>
    <xf borderId="28" fillId="2" fontId="1" numFmtId="0" xfId="0" applyBorder="1" applyFill="1" applyFont="1"/>
    <xf borderId="19" fillId="2" fontId="4" numFmtId="0" xfId="0" applyAlignment="1" applyBorder="1" applyFill="1" applyFont="1">
      <alignment horizontal="right"/>
    </xf>
    <xf borderId="1" fillId="2" fontId="9" numFmtId="0" xfId="0" applyBorder="1" applyFill="1" applyFont="1"/>
    <xf borderId="60" fillId="2" fontId="4" numFmtId="0" xfId="0" applyBorder="1" applyFill="1" applyFont="1"/>
    <xf borderId="46" fillId="2" fontId="4" numFmtId="0" xfId="0" applyAlignment="1" applyBorder="1" applyFill="1" applyFont="1">
      <alignment horizontal="center"/>
    </xf>
    <xf borderId="61" fillId="2" fontId="4" numFmtId="166" xfId="0" applyAlignment="1" applyBorder="1" applyFill="1" applyFont="1" applyNumberFormat="1">
      <alignment horizontal="center"/>
    </xf>
    <xf borderId="33" fillId="2" fontId="4" numFmtId="0" xfId="0" applyAlignment="1" applyBorder="1" applyFill="1" applyFont="1">
      <alignment horizontal="center"/>
    </xf>
    <xf borderId="62" fillId="2" fontId="10" numFmtId="165" xfId="0" applyAlignment="1" applyBorder="1" applyFill="1" applyFont="1" applyNumberFormat="1">
      <alignment horizontal="center"/>
    </xf>
    <xf borderId="25" fillId="2" fontId="4" numFmtId="0" xfId="0" applyAlignment="1" applyBorder="1" applyFill="1" applyFont="1">
      <alignment horizontal="center"/>
    </xf>
    <xf borderId="63" fillId="2" fontId="4" numFmtId="0" xfId="0" applyAlignment="1" applyBorder="1" applyFill="1" applyFont="1">
      <alignment horizontal="center"/>
    </xf>
    <xf borderId="11" fillId="2" fontId="1" numFmtId="0" xfId="0" applyAlignment="1" applyBorder="1" applyFill="1" applyFont="1">
      <alignment horizontal="left" shrinkToFit="0" wrapText="1"/>
    </xf>
    <xf borderId="64" fillId="2" fontId="4" numFmtId="0" xfId="0" applyBorder="1" applyFill="1" applyFont="1"/>
    <xf borderId="65" fillId="0" fontId="3" numFmtId="0" xfId="0" applyBorder="1" applyFont="1"/>
    <xf borderId="66" fillId="3" fontId="1" numFmtId="0" xfId="0" applyBorder="1" applyFill="1" applyFont="1"/>
    <xf borderId="67" fillId="2" fontId="4" numFmtId="0" xfId="0" applyAlignment="1" applyBorder="1" applyFill="1" applyFont="1">
      <alignment horizontal="center"/>
    </xf>
    <xf borderId="68" fillId="3" fontId="1" numFmtId="0" xfId="0" applyBorder="1" applyFill="1" applyFont="1"/>
    <xf borderId="64" fillId="2" fontId="4" numFmtId="0" xfId="0" applyAlignment="1" applyBorder="1" applyFill="1" applyFont="1">
      <alignment horizontal="center"/>
    </xf>
    <xf borderId="28" fillId="4" fontId="4" numFmtId="0" xfId="0" applyAlignment="1" applyBorder="1" applyFill="1" applyFont="1">
      <alignment horizontal="center"/>
    </xf>
    <xf borderId="69" fillId="4" fontId="4" numFmtId="0" xfId="0" applyAlignment="1" applyBorder="1" applyFill="1" applyFont="1">
      <alignment horizontal="left"/>
    </xf>
    <xf borderId="0" fillId="0" fontId="4" numFmtId="0" xfId="0" applyFont="1"/>
    <xf borderId="19" fillId="2" fontId="1" numFmtId="0" xfId="0" applyAlignment="1" applyBorder="1" applyFill="1" applyFont="1">
      <alignment horizontal="left"/>
    </xf>
    <xf borderId="0" fillId="0" fontId="8" numFmtId="0" xfId="0" applyFont="1"/>
    <xf borderId="2" fillId="2" fontId="11" numFmtId="0" xfId="0" applyAlignment="1" applyBorder="1" applyFill="1" applyFont="1">
      <alignment horizontal="center"/>
    </xf>
    <xf borderId="1" fillId="2" fontId="12" numFmtId="0" xfId="0" applyBorder="1" applyFill="1" applyFont="1"/>
    <xf borderId="70" fillId="5" fontId="13" numFmtId="0" xfId="0" applyBorder="1" applyFill="1" applyFont="1"/>
    <xf borderId="71" fillId="5" fontId="13" numFmtId="0" xfId="0" applyBorder="1" applyFill="1" applyFont="1"/>
    <xf borderId="72" fillId="5" fontId="13" numFmtId="0" xfId="0" applyBorder="1" applyFill="1" applyFont="1"/>
    <xf borderId="73" fillId="5" fontId="13" numFmtId="0" xfId="0" applyBorder="1" applyFill="1" applyFont="1"/>
    <xf borderId="17" fillId="2" fontId="1" numFmtId="0" xfId="0" applyBorder="1" applyFill="1" applyFont="1"/>
    <xf borderId="42" fillId="2" fontId="1" numFmtId="0" xfId="0" applyAlignment="1" applyBorder="1" applyFill="1" applyFont="1">
      <alignment horizontal="center"/>
    </xf>
    <xf borderId="21" fillId="2" fontId="1" numFmtId="166" xfId="0" applyAlignment="1" applyBorder="1" applyFill="1" applyFont="1" applyNumberFormat="1">
      <alignment horizontal="center"/>
    </xf>
    <xf borderId="74" fillId="2" fontId="1" numFmtId="0" xfId="0" applyAlignment="1" applyBorder="1" applyFill="1" applyFont="1">
      <alignment horizontal="center"/>
    </xf>
    <xf borderId="25" fillId="0" fontId="1" numFmtId="0" xfId="0" applyAlignment="1" applyBorder="1" applyFont="1">
      <alignment horizontal="center"/>
    </xf>
    <xf borderId="26" fillId="2" fontId="1" numFmtId="0" xfId="0" applyBorder="1" applyFill="1" applyFont="1"/>
    <xf borderId="39" fillId="2" fontId="1" numFmtId="166" xfId="0" applyAlignment="1" applyBorder="1" applyFill="1" applyFont="1" applyNumberFormat="1">
      <alignment horizontal="center"/>
    </xf>
    <xf borderId="32" fillId="2" fontId="1" numFmtId="0" xfId="0" applyBorder="1" applyFill="1" applyFont="1"/>
    <xf borderId="61" fillId="2" fontId="1" numFmtId="0" xfId="0" applyAlignment="1" applyBorder="1" applyFill="1" applyFont="1">
      <alignment horizontal="center"/>
    </xf>
    <xf borderId="14" fillId="2" fontId="1" numFmtId="0" xfId="0" applyAlignment="1" applyBorder="1" applyFill="1" applyFont="1">
      <alignment horizontal="center"/>
    </xf>
    <xf borderId="16" fillId="2" fontId="1" numFmtId="0" xfId="0" applyAlignment="1" applyBorder="1" applyFill="1" applyFont="1">
      <alignment horizontal="center"/>
    </xf>
    <xf borderId="75" fillId="6" fontId="13" numFmtId="0" xfId="0" applyAlignment="1" applyBorder="1" applyFill="1" applyFont="1">
      <alignment horizontal="center"/>
    </xf>
    <xf borderId="37" fillId="5" fontId="13" numFmtId="166" xfId="0" applyAlignment="1" applyBorder="1" applyFill="1" applyFont="1" applyNumberFormat="1">
      <alignment horizontal="center"/>
    </xf>
    <xf borderId="76" fillId="5" fontId="13" numFmtId="0" xfId="0" applyBorder="1" applyFill="1" applyFont="1"/>
    <xf borderId="76" fillId="5" fontId="14" numFmtId="0" xfId="0" applyBorder="1" applyFill="1" applyFont="1"/>
    <xf borderId="37" fillId="5" fontId="13" numFmtId="0" xfId="0" applyAlignment="1" applyBorder="1" applyFill="1" applyFont="1">
      <alignment horizontal="center"/>
    </xf>
    <xf borderId="37" fillId="5" fontId="13" numFmtId="165" xfId="0" applyAlignment="1" applyBorder="1" applyFill="1" applyFont="1" applyNumberFormat="1">
      <alignment horizontal="center"/>
    </xf>
    <xf borderId="1" fillId="2" fontId="4" numFmtId="165" xfId="0" applyAlignment="1" applyBorder="1" applyFill="1" applyFont="1" applyNumberFormat="1">
      <alignment horizontal="center"/>
    </xf>
    <xf borderId="17" fillId="0" fontId="1" numFmtId="0" xfId="0" applyBorder="1" applyFont="1"/>
    <xf borderId="25" fillId="0" fontId="15" numFmtId="166" xfId="0" applyAlignment="1" applyBorder="1" applyFont="1" applyNumberFormat="1">
      <alignment horizontal="center"/>
    </xf>
    <xf borderId="25" fillId="0" fontId="1" numFmtId="166" xfId="0" applyAlignment="1" applyBorder="1" applyFont="1" applyNumberFormat="1">
      <alignment horizontal="center"/>
    </xf>
    <xf borderId="19" fillId="0" fontId="15" numFmtId="166" xfId="0" applyAlignment="1" applyBorder="1" applyFont="1" applyNumberFormat="1">
      <alignment horizontal="center"/>
    </xf>
    <xf borderId="21" fillId="0" fontId="1" numFmtId="166" xfId="0" applyAlignment="1" applyBorder="1" applyFont="1" applyNumberFormat="1">
      <alignment horizontal="center"/>
    </xf>
    <xf borderId="0" fillId="0" fontId="1" numFmtId="165" xfId="0" applyFont="1" applyNumberFormat="1"/>
    <xf borderId="0" fillId="0" fontId="1" numFmtId="166" xfId="0" applyFont="1" applyNumberFormat="1"/>
    <xf borderId="0" fillId="0" fontId="16" numFmtId="0" xfId="0" applyFont="1"/>
    <xf borderId="0" fillId="0" fontId="17" numFmtId="0" xfId="0" applyFont="1"/>
    <xf borderId="25" fillId="0" fontId="1" numFmtId="0" xfId="0" applyBorder="1" applyFont="1"/>
    <xf borderId="25" fillId="0" fontId="6" numFmtId="166" xfId="0" applyBorder="1" applyFont="1" applyNumberFormat="1"/>
    <xf borderId="25" fillId="0" fontId="6" numFmtId="9" xfId="0" applyBorder="1" applyFont="1" applyNumberFormat="1"/>
    <xf borderId="25" fillId="0" fontId="1" numFmtId="9" xfId="0" applyBorder="1" applyFont="1" applyNumberFormat="1"/>
    <xf borderId="25" fillId="0" fontId="6" numFmtId="14" xfId="0" applyBorder="1" applyFont="1" applyNumberFormat="1"/>
    <xf borderId="1" fillId="3" fontId="4" numFmtId="0" xfId="0" applyBorder="1" applyFill="1" applyFont="1"/>
    <xf borderId="25" fillId="0" fontId="1" numFmtId="14" xfId="0" applyBorder="1" applyFont="1" applyNumberFormat="1"/>
    <xf borderId="0" fillId="0" fontId="4" numFmtId="0" xfId="0" applyAlignment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18" numFmtId="0" xfId="0" applyAlignment="1" applyFont="1">
      <alignment shrinkToFit="0" vertical="top" wrapText="1"/>
    </xf>
    <xf borderId="0" fillId="0" fontId="19" numFmtId="0" xfId="0" applyAlignment="1" applyFont="1">
      <alignment horizontal="right" vertical="center"/>
    </xf>
    <xf borderId="25" fillId="7" fontId="20" numFmtId="0" xfId="0" applyAlignment="1" applyBorder="1" applyFill="1" applyFont="1">
      <alignment horizontal="center" vertical="center"/>
    </xf>
    <xf borderId="19" fillId="8" fontId="21" numFmtId="0" xfId="0" applyAlignment="1" applyBorder="1" applyFill="1" applyFont="1">
      <alignment horizontal="center" vertical="center"/>
    </xf>
    <xf borderId="19" fillId="9" fontId="20" numFmtId="0" xfId="0" applyAlignment="1" applyBorder="1" applyFill="1" applyFont="1">
      <alignment horizontal="center" vertical="center"/>
    </xf>
    <xf borderId="0" fillId="0" fontId="22" numFmtId="0" xfId="0" applyFont="1"/>
    <xf borderId="0" fillId="0" fontId="23" numFmtId="0" xfId="0" applyAlignment="1" applyFont="1">
      <alignment horizontal="center" shrinkToFit="1" wrapText="0"/>
    </xf>
    <xf borderId="25" fillId="3" fontId="19" numFmtId="0" xfId="0" applyAlignment="1" applyBorder="1" applyFill="1" applyFont="1">
      <alignment horizontal="center" shrinkToFit="0" vertical="center" wrapText="1"/>
    </xf>
    <xf borderId="25" fillId="0" fontId="8" numFmtId="0" xfId="0" applyAlignment="1" applyBorder="1" applyFont="1">
      <alignment horizontal="center" shrinkToFit="0" vertical="center" wrapText="1"/>
    </xf>
    <xf borderId="25" fillId="0" fontId="8" numFmtId="14" xfId="0" applyAlignment="1" applyBorder="1" applyFont="1" applyNumberFormat="1">
      <alignment horizontal="center" shrinkToFit="0" vertical="center" wrapText="1"/>
    </xf>
    <xf borderId="25" fillId="0" fontId="24" numFmtId="14" xfId="0" applyAlignment="1" applyBorder="1" applyFont="1" applyNumberFormat="1">
      <alignment horizontal="center" shrinkToFit="0" vertical="center" wrapText="1"/>
    </xf>
    <xf borderId="25" fillId="0" fontId="8" numFmtId="166" xfId="0" applyAlignment="1" applyBorder="1" applyFont="1" applyNumberFormat="1">
      <alignment horizontal="center" shrinkToFit="0" vertical="center" wrapText="1"/>
    </xf>
    <xf borderId="25" fillId="0" fontId="24" numFmtId="0" xfId="0" applyAlignment="1" applyBorder="1" applyFont="1">
      <alignment horizontal="center" shrinkToFit="0" vertical="center" wrapText="1"/>
    </xf>
    <xf borderId="25" fillId="0" fontId="8" numFmtId="0" xfId="0" applyAlignment="1" applyBorder="1" applyFont="1">
      <alignment horizontal="left" shrinkToFit="0" vertical="center" wrapText="1"/>
    </xf>
    <xf borderId="0" fillId="0" fontId="4" numFmtId="166" xfId="0" applyFont="1" applyNumberFormat="1"/>
    <xf borderId="25" fillId="3" fontId="19" numFmtId="0" xfId="0" applyAlignment="1" applyBorder="1" applyFill="1" applyFont="1">
      <alignment horizontal="center" vertical="center"/>
    </xf>
    <xf borderId="0" fillId="0" fontId="25" numFmtId="0" xfId="0" applyFont="1"/>
    <xf borderId="25" fillId="3" fontId="19" numFmtId="0" xfId="0" applyAlignment="1" applyBorder="1" applyFill="1" applyFont="1">
      <alignment horizontal="center" shrinkToFit="0" wrapText="1"/>
    </xf>
    <xf borderId="1" fillId="3" fontId="1" numFmtId="0" xfId="0" applyBorder="1" applyFill="1" applyFont="1"/>
    <xf borderId="25" fillId="3" fontId="22" numFmtId="167" xfId="0" applyAlignment="1" applyBorder="1" applyFill="1" applyFont="1" applyNumberFormat="1">
      <alignment horizontal="center" textRotation="90" vertical="center"/>
    </xf>
    <xf borderId="19" fillId="0" fontId="8" numFmtId="0" xfId="0" applyBorder="1" applyFont="1"/>
    <xf borderId="25" fillId="0" fontId="8" numFmtId="166" xfId="0" applyBorder="1" applyFont="1" applyNumberFormat="1"/>
    <xf borderId="25" fillId="0" fontId="8" numFmtId="9" xfId="0" applyBorder="1" applyFont="1" applyNumberFormat="1"/>
    <xf borderId="25" fillId="0" fontId="8" numFmtId="0" xfId="0" applyBorder="1" applyFont="1"/>
    <xf borderId="1" fillId="10" fontId="4" numFmtId="0" xfId="0" applyBorder="1" applyFill="1" applyFont="1"/>
    <xf borderId="1" fillId="10" fontId="1" numFmtId="0" xfId="0" applyBorder="1" applyFill="1" applyFont="1"/>
    <xf borderId="1" fillId="10" fontId="1" numFmtId="0" xfId="0" applyAlignment="1" applyBorder="1" applyFill="1" applyFont="1">
      <alignment horizontal="center" vertical="center"/>
    </xf>
    <xf borderId="25" fillId="0" fontId="8" numFmtId="0" xfId="0" applyAlignment="1" applyBorder="1" applyFont="1">
      <alignment shrinkToFit="0" vertical="center" wrapText="1"/>
    </xf>
    <xf borderId="25" fillId="0" fontId="24" numFmtId="14" xfId="0" applyBorder="1" applyFont="1" applyNumberFormat="1"/>
    <xf borderId="25" fillId="0" fontId="24" numFmtId="165" xfId="0" applyBorder="1" applyFont="1" applyNumberFormat="1"/>
    <xf borderId="25" fillId="0" fontId="24" numFmtId="0" xfId="0" applyAlignment="1" applyBorder="1" applyFont="1">
      <alignment horizontal="center" vertical="center"/>
    </xf>
    <xf borderId="0" fillId="0" fontId="26" numFmtId="0" xfId="0" applyFont="1"/>
    <xf borderId="25" fillId="0" fontId="8" numFmtId="165" xfId="0" applyBorder="1" applyFont="1" applyNumberFormat="1"/>
    <xf borderId="25" fillId="0" fontId="8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6">
    <dxf>
      <font>
        <b/>
        <color rgb="FFFFFFFF"/>
      </font>
      <fill>
        <patternFill patternType="solid">
          <fgColor rgb="FF00B050"/>
          <bgColor rgb="FF00B050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000000"/>
      </font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3" width="9.13"/>
    <col customWidth="1" min="4" max="4" width="17.75"/>
    <col customWidth="1" min="5" max="9" width="9.13"/>
    <col customWidth="1" min="10" max="10" width="10.63"/>
    <col customWidth="1" min="11" max="13" width="9.13"/>
    <col customWidth="1" min="14" max="26" width="8.75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/>
      <c r="B3" s="6" t="s">
        <v>1</v>
      </c>
      <c r="C3" s="8"/>
      <c r="D3" s="8"/>
      <c r="E3" s="8"/>
      <c r="F3" s="8"/>
      <c r="G3" s="8"/>
      <c r="H3" s="8"/>
      <c r="I3" s="8"/>
      <c r="J3" s="9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2"/>
      <c r="B4" s="10"/>
      <c r="C4" s="11"/>
      <c r="D4" s="11"/>
      <c r="E4" s="11"/>
      <c r="F4" s="11"/>
      <c r="G4" s="11"/>
      <c r="H4" s="11"/>
      <c r="I4" s="11"/>
      <c r="J4" s="1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3" t="s">
        <v>3</v>
      </c>
      <c r="C6" s="14"/>
      <c r="D6" s="16" t="s">
        <v>6</v>
      </c>
      <c r="E6" s="18"/>
      <c r="F6" s="18"/>
      <c r="G6" s="18"/>
      <c r="H6" s="18"/>
      <c r="I6" s="1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21" t="s">
        <v>9</v>
      </c>
      <c r="C7" s="14"/>
      <c r="D7" s="23" t="s">
        <v>10</v>
      </c>
      <c r="E7" s="18"/>
      <c r="F7" s="18"/>
      <c r="G7" s="18"/>
      <c r="H7" s="18"/>
      <c r="I7" s="1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25" t="s">
        <v>13</v>
      </c>
      <c r="C8" s="14"/>
      <c r="D8" s="26">
        <v>46315.0</v>
      </c>
      <c r="E8" s="27"/>
      <c r="F8" s="21" t="s">
        <v>15</v>
      </c>
      <c r="G8" s="14"/>
      <c r="H8" s="27" t="s">
        <v>16</v>
      </c>
      <c r="I8" s="2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29"/>
      <c r="D9" s="31"/>
      <c r="E9" s="18"/>
      <c r="F9" s="18"/>
      <c r="G9" s="18"/>
      <c r="H9" s="18"/>
      <c r="I9" s="14"/>
      <c r="J9" s="3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39" t="s">
        <v>18</v>
      </c>
      <c r="C12" s="42"/>
      <c r="D12" s="42"/>
      <c r="E12" s="43"/>
      <c r="F12" s="1"/>
      <c r="G12" s="47" t="s">
        <v>22</v>
      </c>
      <c r="H12" s="42"/>
      <c r="I12" s="49"/>
      <c r="J12" s="51" t="s">
        <v>25</v>
      </c>
      <c r="K12" s="51" t="s">
        <v>26</v>
      </c>
      <c r="L12" s="1"/>
      <c r="M12" s="4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55" t="s">
        <v>30</v>
      </c>
      <c r="C13" s="56"/>
      <c r="D13" s="57"/>
      <c r="E13" s="35">
        <f>Atores!D10+UC!D10</f>
        <v>100</v>
      </c>
      <c r="F13" s="1"/>
      <c r="G13" s="55" t="s">
        <v>37</v>
      </c>
      <c r="H13" s="56"/>
      <c r="I13" s="57"/>
      <c r="J13" s="66">
        <f t="shared" ref="J13:J20" si="1">$E$13*$E$14*K13</f>
        <v>16.60079051</v>
      </c>
      <c r="K13" s="70">
        <f>dadoshistoricos!E31</f>
        <v>0.04150197628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72" t="s">
        <v>51</v>
      </c>
      <c r="C14" s="74"/>
      <c r="D14" s="76"/>
      <c r="E14" s="77">
        <f>dadoshistoricos!L30</f>
        <v>4</v>
      </c>
      <c r="F14" s="1"/>
      <c r="G14" s="79" t="s">
        <v>58</v>
      </c>
      <c r="H14" s="80"/>
      <c r="I14" s="81"/>
      <c r="J14" s="82">
        <f t="shared" si="1"/>
        <v>58.49802372</v>
      </c>
      <c r="K14" s="83">
        <f>dadoshistoricos!F31*0.8</f>
        <v>0.1462450593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84"/>
      <c r="C15" s="85"/>
      <c r="D15" s="86"/>
      <c r="E15" s="1"/>
      <c r="F15" s="1"/>
      <c r="G15" s="79" t="s">
        <v>73</v>
      </c>
      <c r="H15" s="80"/>
      <c r="I15" s="81"/>
      <c r="J15" s="82">
        <f t="shared" si="1"/>
        <v>14.62450593</v>
      </c>
      <c r="K15" s="87">
        <f>dadoshistoricos!F31*0.2</f>
        <v>0.03656126482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89"/>
      <c r="C16" s="18"/>
      <c r="D16" s="14"/>
      <c r="E16" s="1"/>
      <c r="F16" s="1"/>
      <c r="G16" s="79" t="s">
        <v>87</v>
      </c>
      <c r="H16" s="80"/>
      <c r="I16" s="81"/>
      <c r="J16" s="82">
        <f t="shared" si="1"/>
        <v>23.3201581</v>
      </c>
      <c r="K16" s="87">
        <f>dadoshistoricos!G31</f>
        <v>0.05830039526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1"/>
      <c r="F17" s="1"/>
      <c r="G17" s="90" t="s">
        <v>97</v>
      </c>
      <c r="H17" s="34"/>
      <c r="I17" s="36"/>
      <c r="J17" s="82">
        <f t="shared" si="1"/>
        <v>197.6284585</v>
      </c>
      <c r="K17" s="87">
        <f>dadoshistoricos!H31</f>
        <v>0.4940711462</v>
      </c>
      <c r="L17" s="1"/>
      <c r="M17" s="4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90" t="s">
        <v>102</v>
      </c>
      <c r="H18" s="34"/>
      <c r="I18" s="36"/>
      <c r="J18" s="82">
        <f t="shared" si="1"/>
        <v>48.22134387</v>
      </c>
      <c r="K18" s="87">
        <f>dadoshistoricos!J31</f>
        <v>0.1205533597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90" t="s">
        <v>104</v>
      </c>
      <c r="H19" s="34"/>
      <c r="I19" s="36"/>
      <c r="J19" s="82">
        <f t="shared" si="1"/>
        <v>15.81027668</v>
      </c>
      <c r="K19" s="87">
        <f>dadoshistoricos!I31</f>
        <v>0.0395256917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94" t="s">
        <v>106</v>
      </c>
      <c r="C20" s="94"/>
      <c r="D20" s="94"/>
      <c r="E20" s="94"/>
      <c r="F20" s="94"/>
      <c r="G20" s="90" t="s">
        <v>107</v>
      </c>
      <c r="H20" s="34"/>
      <c r="I20" s="36"/>
      <c r="J20" s="82">
        <f t="shared" si="1"/>
        <v>25.29644269</v>
      </c>
      <c r="K20" s="87">
        <f>dadoshistoricos!K31</f>
        <v>0.06324110672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95" t="s">
        <v>108</v>
      </c>
      <c r="H21" s="74"/>
      <c r="I21" s="76"/>
      <c r="J21" s="96">
        <f t="shared" ref="J21:K21" si="2">SUM(J13:J20)</f>
        <v>400</v>
      </c>
      <c r="K21" s="98">
        <f t="shared" si="2"/>
        <v>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89" t="s">
        <v>110</v>
      </c>
      <c r="C22" s="18"/>
      <c r="D22" s="18"/>
      <c r="E22" s="18"/>
      <c r="F22" s="18"/>
      <c r="G22" s="18"/>
      <c r="H22" s="18"/>
      <c r="I22" s="18"/>
      <c r="J22" s="1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01" t="s">
        <v>111</v>
      </c>
      <c r="C23" s="18"/>
      <c r="D23" s="18"/>
      <c r="E23" s="18"/>
      <c r="F23" s="18"/>
      <c r="G23" s="18"/>
      <c r="H23" s="18"/>
      <c r="I23" s="18"/>
      <c r="J23" s="1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 t="s">
        <v>112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 t="s">
        <v>113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 t="s">
        <v>114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01" t="s">
        <v>115</v>
      </c>
      <c r="C28" s="18"/>
      <c r="D28" s="18"/>
      <c r="E28" s="18"/>
      <c r="F28" s="18"/>
      <c r="G28" s="18"/>
      <c r="H28" s="18"/>
      <c r="I28" s="18"/>
      <c r="J28" s="1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3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B3:J4"/>
    <mergeCell ref="B6:C6"/>
    <mergeCell ref="D6:I6"/>
    <mergeCell ref="B7:C7"/>
    <mergeCell ref="D7:I7"/>
    <mergeCell ref="F8:G8"/>
    <mergeCell ref="D9:I9"/>
    <mergeCell ref="G14:I14"/>
    <mergeCell ref="G15:I15"/>
    <mergeCell ref="G17:I17"/>
    <mergeCell ref="G18:I18"/>
    <mergeCell ref="G19:I19"/>
    <mergeCell ref="G20:I20"/>
    <mergeCell ref="G21:I21"/>
    <mergeCell ref="B16:D16"/>
    <mergeCell ref="G16:I16"/>
    <mergeCell ref="B22:J22"/>
    <mergeCell ref="B23:J23"/>
    <mergeCell ref="B28:J28"/>
    <mergeCell ref="B8:C8"/>
    <mergeCell ref="B12:E12"/>
    <mergeCell ref="G12:I12"/>
    <mergeCell ref="B13:D13"/>
    <mergeCell ref="G13:I13"/>
    <mergeCell ref="B14:D14"/>
    <mergeCell ref="B15:D15"/>
  </mergeCells>
  <printOptions/>
  <pageMargins bottom="0.984027777777778" footer="0.0" header="0.0" left="0.39375" right="0.39375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46.0"/>
    <col customWidth="1" min="3" max="3" width="16.75"/>
    <col customWidth="1" min="4" max="4" width="12.75"/>
    <col customWidth="1" min="5" max="5" width="9.13"/>
    <col customWidth="1" min="6" max="6" width="17.88"/>
    <col customWidth="1" min="7" max="7" width="4.75"/>
    <col customWidth="1" min="8" max="12" width="9.13"/>
    <col customWidth="1" min="13" max="26" width="8.75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3" t="s">
        <v>2</v>
      </c>
      <c r="C2" s="4"/>
      <c r="D2" s="5"/>
      <c r="E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28" t="s">
        <v>12</v>
      </c>
      <c r="C6" s="17" t="s">
        <v>7</v>
      </c>
      <c r="D6" s="30" t="s">
        <v>17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38" t="s">
        <v>11</v>
      </c>
      <c r="C7" s="44">
        <v>1.0</v>
      </c>
      <c r="D7" s="50">
        <f>COUNTIF(Atores,B7)</f>
        <v>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41" t="s">
        <v>20</v>
      </c>
      <c r="C8" s="46">
        <v>2.0</v>
      </c>
      <c r="D8" s="62">
        <f>COUNTIF(Atores,B8)</f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52" t="s">
        <v>29</v>
      </c>
      <c r="C9" s="68">
        <v>3.0</v>
      </c>
      <c r="D9" s="75">
        <f>COUNTIF(Atores,B9)</f>
        <v>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78" t="s">
        <v>57</v>
      </c>
      <c r="D10" s="59">
        <f>(C7*D7)+(C8*D8)+(C9*D9)</f>
        <v>10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88" t="s">
        <v>84</v>
      </c>
      <c r="C13" s="88" t="s">
        <v>44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53" t="s">
        <v>91</v>
      </c>
      <c r="C14" s="46" t="s">
        <v>29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53" t="s">
        <v>101</v>
      </c>
      <c r="C15" s="46" t="s">
        <v>29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53" t="s">
        <v>103</v>
      </c>
      <c r="C16" s="46" t="s">
        <v>29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53" t="s">
        <v>105</v>
      </c>
      <c r="C17" s="46" t="s">
        <v>11</v>
      </c>
      <c r="D17" s="1"/>
      <c r="E17" s="1"/>
      <c r="F17" s="9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97" t="s">
        <v>109</v>
      </c>
      <c r="C18" s="100">
        <f>SUBTOTAL(103,C14:C17)</f>
        <v>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D2"/>
  </mergeCells>
  <dataValidations>
    <dataValidation type="list" allowBlank="1" showErrorMessage="1" sqref="C14:C17">
      <formula1>"Simples,Médio,Complexo"</formula1>
    </dataValidation>
  </dataValidations>
  <printOptions/>
  <pageMargins bottom="0.984027777777778" footer="0.0" header="0.0" left="0.7875" right="0.7875" top="0.984027777777778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60.0"/>
    <col customWidth="1" min="3" max="3" width="16.75"/>
    <col customWidth="1" min="4" max="4" width="18.13"/>
    <col customWidth="1" min="5" max="5" width="70.0"/>
    <col customWidth="1" min="6" max="6" width="9.38"/>
    <col customWidth="1" min="7" max="7" width="72.0"/>
    <col customWidth="1" min="8" max="14" width="9.13"/>
    <col customWidth="1" hidden="1" min="15" max="15" width="11.63"/>
    <col customWidth="1" min="16" max="26" width="8.75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3" t="s">
        <v>0</v>
      </c>
      <c r="C2" s="4"/>
      <c r="D2" s="5"/>
      <c r="E2" s="7"/>
      <c r="F2" s="7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5" t="s">
        <v>4</v>
      </c>
      <c r="C6" s="17" t="s">
        <v>7</v>
      </c>
      <c r="D6" s="19" t="s">
        <v>8</v>
      </c>
      <c r="E6" s="2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22" t="s">
        <v>11</v>
      </c>
      <c r="C7" s="24">
        <v>5.0</v>
      </c>
      <c r="D7" s="35">
        <f>COUNTIF(CUC,B7)</f>
        <v>1</v>
      </c>
      <c r="E7" s="3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41" t="s">
        <v>20</v>
      </c>
      <c r="C8" s="46">
        <v>10.0</v>
      </c>
      <c r="D8" s="50">
        <f>COUNTIF(CUC,B8)</f>
        <v>7</v>
      </c>
      <c r="E8" s="3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52" t="s">
        <v>29</v>
      </c>
      <c r="C9" s="54">
        <v>15.0</v>
      </c>
      <c r="D9" s="50">
        <f>COUNTIF(CUC,B9)</f>
        <v>1</v>
      </c>
      <c r="E9" s="3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59" t="s">
        <v>32</v>
      </c>
      <c r="D10" s="60">
        <f>(C7*D7)+(C8*D8)+(C9*D9)</f>
        <v>90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61"/>
      <c r="B11" s="18"/>
      <c r="C11" s="1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3" t="s">
        <v>19</v>
      </c>
      <c r="B12" s="64" t="s">
        <v>40</v>
      </c>
      <c r="C12" s="65" t="s">
        <v>43</v>
      </c>
      <c r="D12" s="64" t="s">
        <v>44</v>
      </c>
      <c r="E12" s="67" t="s">
        <v>46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69"/>
      <c r="B13" s="71" t="s">
        <v>50</v>
      </c>
      <c r="C13" s="73">
        <v>3.0</v>
      </c>
      <c r="D13" s="73" t="str">
        <f t="shared" ref="D13:D21" si="1">IF(C13&lt;4,"Simples",(IF(C13&gt;5,"Complexo","Médio")))</f>
        <v>Simples</v>
      </c>
      <c r="E13" s="71" t="s">
        <v>60</v>
      </c>
      <c r="F13" s="1"/>
      <c r="G13" s="1"/>
      <c r="H13" s="1"/>
      <c r="I13" s="1"/>
      <c r="J13" s="1"/>
      <c r="K13" s="1"/>
      <c r="L13" s="1"/>
      <c r="M13" s="1"/>
      <c r="N13" s="1"/>
      <c r="O13" s="1">
        <v>1.0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69"/>
      <c r="B14" s="71" t="s">
        <v>64</v>
      </c>
      <c r="C14" s="73">
        <v>4.0</v>
      </c>
      <c r="D14" s="73" t="str">
        <f t="shared" si="1"/>
        <v>Médio</v>
      </c>
      <c r="E14" s="71" t="s">
        <v>65</v>
      </c>
      <c r="F14" s="1"/>
      <c r="G14" s="1"/>
      <c r="H14" s="1"/>
      <c r="I14" s="1"/>
      <c r="J14" s="1"/>
      <c r="K14" s="1"/>
      <c r="L14" s="1"/>
      <c r="M14" s="1"/>
      <c r="N14" s="1"/>
      <c r="O14" s="1">
        <v>2.0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69"/>
      <c r="B15" s="71" t="s">
        <v>68</v>
      </c>
      <c r="C15" s="73">
        <v>6.0</v>
      </c>
      <c r="D15" s="73" t="str">
        <f t="shared" si="1"/>
        <v>Complexo</v>
      </c>
      <c r="E15" s="71" t="s">
        <v>70</v>
      </c>
      <c r="F15" s="1"/>
      <c r="G15" s="1"/>
      <c r="H15" s="1"/>
      <c r="I15" s="1"/>
      <c r="J15" s="1"/>
      <c r="K15" s="1"/>
      <c r="L15" s="1"/>
      <c r="M15" s="1"/>
      <c r="N15" s="1"/>
      <c r="O15" s="1">
        <v>3.0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69"/>
      <c r="B16" s="71" t="s">
        <v>74</v>
      </c>
      <c r="C16" s="73">
        <v>5.0</v>
      </c>
      <c r="D16" s="73" t="str">
        <f t="shared" si="1"/>
        <v>Médio</v>
      </c>
      <c r="E16" s="71" t="s">
        <v>76</v>
      </c>
      <c r="F16" s="1"/>
      <c r="G16" s="1"/>
      <c r="H16" s="1"/>
      <c r="I16" s="1"/>
      <c r="J16" s="1"/>
      <c r="K16" s="1"/>
      <c r="L16" s="1"/>
      <c r="M16" s="1"/>
      <c r="N16" s="1"/>
      <c r="O16" s="1">
        <v>4.0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69"/>
      <c r="B17" s="71" t="s">
        <v>77</v>
      </c>
      <c r="C17" s="73">
        <v>4.0</v>
      </c>
      <c r="D17" s="73" t="str">
        <f t="shared" si="1"/>
        <v>Médio</v>
      </c>
      <c r="E17" s="71" t="s">
        <v>79</v>
      </c>
      <c r="F17" s="1"/>
      <c r="G17" s="1"/>
      <c r="H17" s="1"/>
      <c r="I17" s="1"/>
      <c r="J17" s="1"/>
      <c r="K17" s="1"/>
      <c r="L17" s="1"/>
      <c r="M17" s="1"/>
      <c r="N17" s="1"/>
      <c r="O17" s="1">
        <v>5.0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69"/>
      <c r="B18" s="71" t="s">
        <v>82</v>
      </c>
      <c r="C18" s="73">
        <v>4.0</v>
      </c>
      <c r="D18" s="73" t="str">
        <f t="shared" si="1"/>
        <v>Médio</v>
      </c>
      <c r="E18" s="71" t="s">
        <v>83</v>
      </c>
      <c r="F18" s="1"/>
      <c r="G18" s="1"/>
      <c r="H18" s="1"/>
      <c r="I18" s="1"/>
      <c r="J18" s="1"/>
      <c r="K18" s="1"/>
      <c r="L18" s="1"/>
      <c r="M18" s="1"/>
      <c r="N18" s="1"/>
      <c r="O18" s="1">
        <v>6.0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69"/>
      <c r="B19" s="71" t="s">
        <v>88</v>
      </c>
      <c r="C19" s="73">
        <v>5.0</v>
      </c>
      <c r="D19" s="73" t="str">
        <f t="shared" si="1"/>
        <v>Médio</v>
      </c>
      <c r="E19" s="71" t="s">
        <v>90</v>
      </c>
      <c r="F19" s="1"/>
      <c r="G19" s="1"/>
      <c r="H19" s="1"/>
      <c r="I19" s="1"/>
      <c r="J19" s="1"/>
      <c r="K19" s="1"/>
      <c r="L19" s="1"/>
      <c r="M19" s="1"/>
      <c r="N19" s="1"/>
      <c r="O19" s="1">
        <v>7.0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69"/>
      <c r="B20" s="71" t="s">
        <v>93</v>
      </c>
      <c r="C20" s="73">
        <v>5.0</v>
      </c>
      <c r="D20" s="73" t="str">
        <f t="shared" si="1"/>
        <v>Médio</v>
      </c>
      <c r="E20" s="71" t="s">
        <v>95</v>
      </c>
      <c r="F20" s="1"/>
      <c r="G20" s="1"/>
      <c r="H20" s="1"/>
      <c r="I20" s="1"/>
      <c r="J20" s="1"/>
      <c r="K20" s="1"/>
      <c r="L20" s="1"/>
      <c r="M20" s="1"/>
      <c r="N20" s="1"/>
      <c r="O20" s="1">
        <v>8.0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69"/>
      <c r="B21" s="71" t="s">
        <v>98</v>
      </c>
      <c r="C21" s="73">
        <v>5.0</v>
      </c>
      <c r="D21" s="73" t="str">
        <f t="shared" si="1"/>
        <v>Médio</v>
      </c>
      <c r="E21" s="71" t="s">
        <v>99</v>
      </c>
      <c r="F21" s="1"/>
      <c r="G21" s="1"/>
      <c r="H21" s="1"/>
      <c r="I21" s="1"/>
      <c r="J21" s="1"/>
      <c r="K21" s="1"/>
      <c r="L21" s="1"/>
      <c r="M21" s="1"/>
      <c r="N21" s="1"/>
      <c r="O21" s="1">
        <v>9.0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69"/>
      <c r="B22" s="91"/>
      <c r="C22" s="44"/>
      <c r="D22" s="44"/>
      <c r="E22" s="91"/>
      <c r="F22" s="1"/>
      <c r="G22" s="1"/>
      <c r="H22" s="1"/>
      <c r="I22" s="1"/>
      <c r="J22" s="1"/>
      <c r="K22" s="1"/>
      <c r="L22" s="1"/>
      <c r="M22" s="1"/>
      <c r="N22" s="1"/>
      <c r="O22" s="1">
        <v>10.0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69"/>
      <c r="B23" s="91"/>
      <c r="C23" s="44"/>
      <c r="D23" s="44"/>
      <c r="E23" s="91"/>
      <c r="F23" s="1"/>
      <c r="G23" s="1"/>
      <c r="H23" s="1"/>
      <c r="I23" s="1"/>
      <c r="J23" s="1"/>
      <c r="K23" s="1"/>
      <c r="L23" s="1"/>
      <c r="M23" s="1"/>
      <c r="N23" s="1"/>
      <c r="O23" s="1">
        <v>11.0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69"/>
      <c r="B24" s="91"/>
      <c r="C24" s="44"/>
      <c r="D24" s="44"/>
      <c r="E24" s="91"/>
      <c r="F24" s="1"/>
      <c r="G24" s="1"/>
      <c r="H24" s="1"/>
      <c r="I24" s="1"/>
      <c r="J24" s="1"/>
      <c r="K24" s="1"/>
      <c r="L24" s="1"/>
      <c r="M24" s="1"/>
      <c r="N24" s="1"/>
      <c r="O24" s="1">
        <v>12.0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69"/>
      <c r="B25" s="91"/>
      <c r="C25" s="44"/>
      <c r="D25" s="44"/>
      <c r="E25" s="91"/>
      <c r="F25" s="1"/>
      <c r="G25" s="1"/>
      <c r="H25" s="1"/>
      <c r="I25" s="1"/>
      <c r="J25" s="1"/>
      <c r="K25" s="1"/>
      <c r="L25" s="1"/>
      <c r="M25" s="1"/>
      <c r="N25" s="1"/>
      <c r="O25" s="1">
        <v>13.0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69"/>
      <c r="B26" s="91"/>
      <c r="C26" s="44"/>
      <c r="D26" s="44"/>
      <c r="E26" s="91"/>
      <c r="F26" s="1"/>
      <c r="G26" s="1"/>
      <c r="H26" s="1"/>
      <c r="I26" s="1"/>
      <c r="J26" s="1"/>
      <c r="K26" s="1"/>
      <c r="L26" s="1"/>
      <c r="M26" s="1"/>
      <c r="N26" s="1"/>
      <c r="O26" s="1">
        <v>14.0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69"/>
      <c r="B27" s="91"/>
      <c r="C27" s="44"/>
      <c r="D27" s="44"/>
      <c r="E27" s="91"/>
      <c r="F27" s="1"/>
      <c r="G27" s="1"/>
      <c r="H27" s="1"/>
      <c r="I27" s="1"/>
      <c r="J27" s="1"/>
      <c r="K27" s="1"/>
      <c r="L27" s="1"/>
      <c r="M27" s="1"/>
      <c r="N27" s="1"/>
      <c r="O27" s="1">
        <v>15.0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69"/>
      <c r="B28" s="91"/>
      <c r="C28" s="44"/>
      <c r="D28" s="44"/>
      <c r="E28" s="91"/>
      <c r="F28" s="1"/>
      <c r="G28" s="1"/>
      <c r="H28" s="1"/>
      <c r="I28" s="1"/>
      <c r="J28" s="1"/>
      <c r="K28" s="1"/>
      <c r="L28" s="1"/>
      <c r="M28" s="1"/>
      <c r="N28" s="1"/>
      <c r="O28" s="1">
        <v>16.0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69"/>
      <c r="B29" s="91"/>
      <c r="C29" s="44"/>
      <c r="D29" s="44"/>
      <c r="E29" s="91"/>
      <c r="F29" s="1"/>
      <c r="G29" s="1"/>
      <c r="H29" s="1"/>
      <c r="I29" s="1"/>
      <c r="J29" s="1"/>
      <c r="K29" s="1"/>
      <c r="L29" s="1"/>
      <c r="M29" s="1"/>
      <c r="N29" s="1"/>
      <c r="O29" s="1">
        <v>17.0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69"/>
      <c r="B30" s="91"/>
      <c r="C30" s="44"/>
      <c r="D30" s="44"/>
      <c r="E30" s="91"/>
      <c r="F30" s="1"/>
      <c r="G30" s="1"/>
      <c r="H30" s="1"/>
      <c r="I30" s="1"/>
      <c r="J30" s="1"/>
      <c r="K30" s="1"/>
      <c r="L30" s="1"/>
      <c r="M30" s="1"/>
      <c r="N30" s="1"/>
      <c r="O30" s="1">
        <v>18.0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69"/>
      <c r="B31" s="91"/>
      <c r="C31" s="44"/>
      <c r="D31" s="44"/>
      <c r="E31" s="91"/>
      <c r="F31" s="1"/>
      <c r="G31" s="1"/>
      <c r="H31" s="1"/>
      <c r="I31" s="1"/>
      <c r="J31" s="1"/>
      <c r="K31" s="1"/>
      <c r="L31" s="1"/>
      <c r="M31" s="1"/>
      <c r="N31" s="1"/>
      <c r="O31" s="1">
        <v>19.0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69"/>
      <c r="B32" s="91"/>
      <c r="C32" s="44"/>
      <c r="D32" s="44"/>
      <c r="E32" s="91"/>
      <c r="F32" s="1"/>
      <c r="G32" s="1"/>
      <c r="H32" s="1"/>
      <c r="I32" s="1"/>
      <c r="J32" s="1"/>
      <c r="K32" s="1"/>
      <c r="L32" s="1"/>
      <c r="M32" s="1"/>
      <c r="N32" s="1"/>
      <c r="O32" s="1">
        <v>21.0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69"/>
      <c r="B33" s="91"/>
      <c r="C33" s="44"/>
      <c r="D33" s="44"/>
      <c r="E33" s="91"/>
      <c r="F33" s="1"/>
      <c r="G33" s="1"/>
      <c r="H33" s="1"/>
      <c r="I33" s="1"/>
      <c r="J33" s="1"/>
      <c r="K33" s="1"/>
      <c r="L33" s="1"/>
      <c r="M33" s="1"/>
      <c r="N33" s="1"/>
      <c r="O33" s="1">
        <v>22.0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69"/>
      <c r="B34" s="91"/>
      <c r="C34" s="44"/>
      <c r="D34" s="44"/>
      <c r="E34" s="91"/>
      <c r="F34" s="1"/>
      <c r="G34" s="1"/>
      <c r="H34" s="1"/>
      <c r="I34" s="1"/>
      <c r="J34" s="1"/>
      <c r="K34" s="1"/>
      <c r="L34" s="1"/>
      <c r="M34" s="1"/>
      <c r="N34" s="1"/>
      <c r="O34" s="1">
        <v>23.0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69"/>
      <c r="B35" s="91"/>
      <c r="C35" s="44"/>
      <c r="D35" s="44"/>
      <c r="E35" s="91"/>
      <c r="F35" s="1"/>
      <c r="G35" s="1"/>
      <c r="H35" s="1"/>
      <c r="I35" s="1"/>
      <c r="J35" s="1"/>
      <c r="K35" s="1"/>
      <c r="L35" s="1"/>
      <c r="M35" s="1"/>
      <c r="N35" s="1"/>
      <c r="O35" s="1">
        <v>24.0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69"/>
      <c r="B36" s="91"/>
      <c r="C36" s="44"/>
      <c r="D36" s="44"/>
      <c r="E36" s="91"/>
      <c r="F36" s="1"/>
      <c r="G36" s="1"/>
      <c r="H36" s="1"/>
      <c r="I36" s="1"/>
      <c r="J36" s="1"/>
      <c r="K36" s="1"/>
      <c r="L36" s="1"/>
      <c r="M36" s="1"/>
      <c r="N36" s="1"/>
      <c r="O36" s="1">
        <v>25.0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69"/>
      <c r="B37" s="91"/>
      <c r="C37" s="44"/>
      <c r="D37" s="44"/>
      <c r="E37" s="91"/>
      <c r="F37" s="1"/>
      <c r="G37" s="1"/>
      <c r="H37" s="1"/>
      <c r="I37" s="1"/>
      <c r="J37" s="1"/>
      <c r="K37" s="1"/>
      <c r="L37" s="1"/>
      <c r="M37" s="1"/>
      <c r="N37" s="1"/>
      <c r="O37" s="1">
        <v>26.0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69"/>
      <c r="B38" s="91"/>
      <c r="C38" s="44"/>
      <c r="D38" s="44"/>
      <c r="E38" s="91"/>
      <c r="F38" s="1"/>
      <c r="G38" s="1"/>
      <c r="H38" s="1"/>
      <c r="I38" s="1"/>
      <c r="J38" s="1"/>
      <c r="K38" s="1"/>
      <c r="L38" s="1"/>
      <c r="M38" s="1"/>
      <c r="N38" s="1"/>
      <c r="O38" s="1">
        <v>27.0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69"/>
      <c r="B39" s="91"/>
      <c r="C39" s="44"/>
      <c r="D39" s="44"/>
      <c r="E39" s="91"/>
      <c r="F39" s="1"/>
      <c r="G39" s="1"/>
      <c r="H39" s="1"/>
      <c r="I39" s="1"/>
      <c r="J39" s="1"/>
      <c r="K39" s="1"/>
      <c r="L39" s="1"/>
      <c r="M39" s="1"/>
      <c r="N39" s="1"/>
      <c r="O39" s="1">
        <v>28.0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02" t="s">
        <v>109</v>
      </c>
      <c r="B40" s="102">
        <f>SUBTOTAL(103,B13:B39)</f>
        <v>9</v>
      </c>
      <c r="C40" s="105"/>
      <c r="D40" s="107"/>
      <c r="E40" s="107"/>
      <c r="F40" s="1"/>
      <c r="G40" s="1"/>
      <c r="H40" s="1"/>
      <c r="I40" s="1"/>
      <c r="J40" s="1"/>
      <c r="K40" s="1"/>
      <c r="L40" s="1"/>
      <c r="M40" s="1"/>
      <c r="N40" s="1"/>
      <c r="O40" s="1">
        <v>29.0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>
        <v>30.0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>
        <v>31.0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>
        <v>32.0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>
        <v>33.0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>
        <v>34.0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>
        <v>35.0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>
        <v>36.0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>
        <v>37.0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>
        <v>38.0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>
        <v>39.0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>
        <v>40.0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>
        <v>41.0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>
        <v>42.0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>
        <v>43.0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>
        <v>44.0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>
        <v>45.0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>
        <v>46.0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>
        <v>47.0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>
        <v>48.0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>
        <v>49.0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>
        <v>50.0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>
        <v>51.0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>
        <v>52.0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>
        <v>53.0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>
        <v>54.0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>
        <v>55.0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>
        <v>56.0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>
        <v>57.0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>
        <v>58.0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>
        <v>59.0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>
        <v>60.0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>
        <v>61.0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>
        <v>62.0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>
        <v>63.0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>
        <v>64.0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>
        <v>65.0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>
        <v>66.0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>
        <v>67.0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>
        <v>68.0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>
        <v>69.0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>
        <v>70.0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>
        <v>71.0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>
        <v>72.0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>
        <v>73.0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>
        <v>74.0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>
        <v>75.0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>
        <v>76.0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>
        <v>77.0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>
        <v>78.0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>
        <v>79.0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>
        <v>80.0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>
        <v>81.0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>
        <v>82.0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>
        <v>83.0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>
        <v>84.0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>
        <v>85.0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>
        <v>86.0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>
        <v>87.0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>
        <v>88.0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>
        <v>89.0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>
        <v>90.0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>
        <v>91.0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>
        <v>92.0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>
        <v>93.0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>
        <v>94.0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>
        <v>95.0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>
        <v>96.0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>
        <v>97.0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>
        <v>98.0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>
        <v>99.0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>
        <v>100.0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>
        <v>101.0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>
        <v>102.0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>
        <v>103.0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>
        <v>104.0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>
        <v>105.0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>
        <v>106.0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>
        <v>107.0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>
        <v>108.0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>
        <v>109.0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>
        <v>110.0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>
        <v>111.0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>
        <v>112.0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>
        <v>113.0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>
        <v>114.0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>
        <v>115.0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>
        <v>116.0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>
        <v>117.0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>
        <v>118.0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>
        <v>119.0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>
        <v>120.0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>
        <v>121.0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>
        <v>122.0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>
        <v>123.0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>
        <v>124.0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>
        <v>125.0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>
        <v>126.0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>
        <v>127.0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>
        <v>128.0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>
        <v>129.0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>
        <v>130.0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>
        <v>131.0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>
        <v>132.0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>
        <v>133.0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>
        <v>134.0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>
        <v>135.0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>
        <v>136.0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>
        <v>137.0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>
        <v>138.0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>
        <v>139.0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>
        <v>140.0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>
        <v>141.0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>
        <v>142.0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>
        <v>143.0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>
        <v>144.0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>
        <v>145.0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>
        <v>146.0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>
        <v>147.0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>
        <v>148.0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>
        <v>149.0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>
        <v>150.0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>
        <v>151.0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>
        <v>152.0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>
        <v>153.0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>
        <v>154.0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>
        <v>155.0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>
        <v>156.0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>
        <v>157.0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>
        <v>158.0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>
        <v>159.0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>
        <v>160.0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>
        <v>161.0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>
        <v>162.0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>
        <v>163.0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>
        <v>164.0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>
        <v>165.0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>
        <v>166.0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>
        <v>167.0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>
        <v>168.0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>
        <v>169.0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>
        <v>170.0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>
        <v>171.0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>
        <v>172.0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>
        <v>173.0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>
        <v>174.0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>
        <v>175.0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>
        <v>176.0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>
        <v>177.0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>
        <v>178.0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>
        <v>179.0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>
        <v>180.0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>
        <v>181.0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>
        <v>182.0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>
        <v>183.0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>
        <v>184.0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>
        <v>185.0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>
        <v>186.0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>
        <v>187.0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>
        <v>188.0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>
        <v>189.0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>
        <v>190.0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>
        <v>191.0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>
        <v>192.0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>
        <v>193.0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>
        <v>194.0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>
        <v>195.0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>
        <v>196.0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>
        <v>197.0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>
        <v>198.0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>
        <v>199.0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>
        <v>200.0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>
        <v>201.0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>
        <v>202.0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>
        <v>203.0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>
        <v>204.0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>
        <v>205.0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>
        <v>206.0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>
        <v>207.0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>
        <v>208.0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>
        <v>209.0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>
        <v>210.0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>
        <v>211.0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>
        <v>212.0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>
        <v>213.0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>
        <v>214.0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>
        <v>215.0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>
        <v>216.0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>
        <v>217.0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>
        <v>218.0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>
        <v>219.0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>
        <v>220.0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>
        <v>221.0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>
        <v>222.0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>
        <v>223.0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>
        <v>224.0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>
        <v>225.0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>
        <v>226.0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>
        <v>227.0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>
        <v>228.0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>
        <v>229.0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>
        <v>230.0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>
        <v>231.0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>
        <v>232.0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>
        <v>233.0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>
        <v>234.0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>
        <v>235.0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>
        <v>236.0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>
        <v>237.0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>
        <v>238.0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>
        <v>239.0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>
        <v>240.0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>
        <v>241.0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>
        <v>242.0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>
        <v>243.0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>
        <v>244.0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>
        <v>245.0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>
        <v>246.0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>
        <v>247.0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>
        <v>248.0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>
        <v>249.0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>
        <v>250.0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>
        <v>251.0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>
        <v>252.0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>
        <v>253.0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>
        <v>254.0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>
        <v>255.0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>
        <v>256.0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>
        <v>257.0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>
        <v>258.0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>
        <v>259.0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>
        <v>260.0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>
        <v>261.0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>
        <v>262.0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>
        <v>263.0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>
        <v>264.0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>
        <v>265.0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>
        <v>266.0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>
        <v>267.0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>
        <v>268.0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>
        <v>269.0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>
        <v>270.0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>
        <v>271.0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>
        <v>272.0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>
        <v>273.0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>
        <v>274.0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>
        <v>275.0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>
        <v>276.0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>
        <v>277.0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>
        <v>278.0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>
        <v>279.0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>
        <v>280.0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>
        <v>281.0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>
        <v>282.0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>
        <v>283.0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>
        <v>284.0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>
        <v>285.0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>
        <v>286.0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>
        <v>287.0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>
        <v>288.0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>
        <v>289.0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>
        <v>290.0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>
        <v>291.0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>
        <v>292.0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>
        <v>293.0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>
        <v>294.0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>
        <v>295.0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>
        <v>296.0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>
        <v>297.0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>
        <v>298.0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>
        <v>299.0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>
        <v>300.0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>
        <v>301.0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>
        <v>302.0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>
        <v>303.0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>
        <v>304.0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>
        <v>305.0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>
        <v>306.0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>
        <v>307.0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>
        <v>308.0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>
        <v>309.0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>
        <v>310.0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>
        <v>311.0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>
        <v>312.0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>
        <v>313.0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>
        <v>314.0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>
        <v>315.0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>
        <v>316.0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>
        <v>317.0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>
        <v>318.0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>
        <v>319.0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>
        <v>320.0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>
        <v>321.0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>
        <v>322.0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>
        <v>323.0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>
        <v>324.0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>
        <v>325.0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>
        <v>326.0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>
        <v>327.0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>
        <v>328.0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>
        <v>329.0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>
        <v>330.0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>
        <v>331.0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>
        <v>332.0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>
        <v>333.0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>
        <v>334.0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>
        <v>335.0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>
        <v>336.0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>
        <v>337.0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>
        <v>338.0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>
        <v>339.0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>
        <v>340.0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>
        <v>341.0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>
        <v>342.0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>
        <v>343.0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>
        <v>344.0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>
        <v>345.0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>
        <v>346.0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>
        <v>347.0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>
        <v>348.0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>
        <v>349.0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>
        <v>350.0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>
        <v>351.0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>
        <v>352.0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>
        <v>353.0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>
        <v>354.0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>
        <v>355.0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>
        <v>356.0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>
        <v>357.0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>
        <v>358.0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>
        <v>359.0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>
        <v>360.0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>
        <v>361.0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>
        <v>362.0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>
        <v>363.0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>
        <v>364.0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>
        <v>365.0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>
        <v>366.0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>
        <v>367.0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>
        <v>368.0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>
        <v>369.0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>
        <v>370.0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>
        <v>371.0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>
        <v>372.0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>
        <v>373.0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>
        <v>374.0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>
        <v>375.0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>
        <v>376.0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>
        <v>377.0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>
        <v>378.0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>
        <v>379.0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>
        <v>380.0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>
        <v>381.0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>
        <v>382.0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>
        <v>383.0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>
        <v>384.0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>
        <v>385.0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>
        <v>386.0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>
        <v>387.0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>
        <v>388.0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>
        <v>389.0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>
        <v>390.0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>
        <v>391.0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>
        <v>392.0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>
        <v>393.0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>
        <v>394.0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>
        <v>395.0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>
        <v>396.0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>
        <v>397.0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>
        <v>398.0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>
        <v>399.0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>
        <v>400.0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>
        <v>401.0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>
        <v>402.0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>
        <v>403.0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>
        <v>404.0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>
        <v>405.0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>
        <v>406.0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>
        <v>407.0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>
        <v>408.0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>
        <v>409.0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>
        <v>410.0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>
        <v>411.0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>
        <v>412.0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>
        <v>413.0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>
        <v>414.0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>
        <v>415.0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>
        <v>416.0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>
        <v>417.0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>
        <v>418.0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>
        <v>419.0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>
        <v>420.0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>
        <v>421.0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>
        <v>422.0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>
        <v>423.0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>
        <v>424.0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>
        <v>425.0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>
        <v>426.0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>
        <v>427.0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>
        <v>428.0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>
        <v>429.0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>
        <v>430.0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>
        <v>431.0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>
        <v>432.0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>
        <v>433.0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>
        <v>434.0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>
        <v>435.0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>
        <v>436.0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>
        <v>437.0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>
        <v>438.0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>
        <v>439.0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>
        <v>440.0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>
        <v>441.0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>
        <v>442.0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>
        <v>443.0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>
        <v>444.0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>
        <v>445.0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>
        <v>446.0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>
        <v>447.0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>
        <v>448.0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>
        <v>449.0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>
        <v>450.0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>
        <v>451.0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>
        <v>452.0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>
        <v>453.0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>
        <v>454.0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>
        <v>455.0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>
        <v>456.0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>
        <v>457.0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>
        <v>458.0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>
        <v>459.0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>
        <v>460.0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>
        <v>461.0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>
        <v>462.0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>
        <v>463.0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>
        <v>464.0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>
        <v>465.0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>
        <v>466.0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>
        <v>467.0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>
        <v>468.0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>
        <v>469.0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>
        <v>470.0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>
        <v>471.0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>
        <v>472.0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>
        <v>473.0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>
        <v>474.0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>
        <v>475.0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>
        <v>476.0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>
        <v>477.0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>
        <v>478.0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>
        <v>479.0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>
        <v>480.0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>
        <v>481.0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>
        <v>482.0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>
        <v>483.0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>
        <v>484.0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>
        <v>485.0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>
        <v>486.0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>
        <v>487.0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>
        <v>488.0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>
        <v>489.0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>
        <v>490.0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>
        <v>491.0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>
        <v>492.0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>
        <v>493.0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>
        <v>494.0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>
        <v>495.0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>
        <v>496.0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>
        <v>497.0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>
        <v>498.0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>
        <v>499.0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>
        <v>500.0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>
        <v>501.0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>
        <v>502.0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>
        <v>503.0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>
        <v>504.0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>
        <v>505.0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>
        <v>506.0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>
        <v>507.0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>
        <v>508.0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>
        <v>509.0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>
        <v>510.0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>
        <v>511.0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>
        <v>512.0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>
        <v>513.0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>
        <v>514.0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>
        <v>515.0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>
        <v>516.0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>
        <v>517.0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>
        <v>518.0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>
        <v>519.0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>
        <v>520.0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>
        <v>521.0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>
        <v>522.0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>
        <v>523.0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>
        <v>524.0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>
        <v>525.0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>
        <v>526.0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>
        <v>527.0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>
        <v>528.0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>
        <v>529.0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>
        <v>530.0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>
        <v>531.0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>
        <v>532.0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>
        <v>533.0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>
        <v>534.0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>
        <v>535.0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>
        <v>536.0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>
        <v>537.0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>
        <v>538.0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>
        <v>539.0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>
        <v>540.0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>
        <v>541.0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>
        <v>542.0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>
        <v>543.0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>
        <v>544.0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>
        <v>545.0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>
        <v>546.0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>
        <v>547.0</v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>
        <v>548.0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>
        <v>549.0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>
        <v>550.0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>
        <v>551.0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>
        <v>552.0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>
        <v>553.0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>
        <v>554.0</v>
      </c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>
        <v>555.0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>
        <v>556.0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>
        <v>557.0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>
        <v>558.0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>
        <v>559.0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>
        <v>560.0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>
        <v>561.0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>
        <v>562.0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>
        <v>563.0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>
        <v>564.0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>
        <v>565.0</v>
      </c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>
        <v>566.0</v>
      </c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>
        <v>567.0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>
        <v>568.0</v>
      </c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>
        <v>569.0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>
        <v>570.0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>
        <v>571.0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>
        <v>572.0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>
        <v>573.0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>
        <v>574.0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>
        <v>575.0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>
        <v>576.0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>
        <v>577.0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>
        <v>578.0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>
        <v>579.0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>
        <v>580.0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>
        <v>581.0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>
        <v>582.0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>
        <v>583.0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>
        <v>584.0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>
        <v>585.0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>
        <v>586.0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>
        <v>587.0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>
        <v>588.0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>
        <v>589.0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>
        <v>590.0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>
        <v>591.0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>
        <v>592.0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>
        <v>593.0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>
        <v>594.0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>
        <v>595.0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>
        <v>596.0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>
        <v>597.0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>
        <v>598.0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>
        <v>599.0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>
        <v>600.0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>
        <v>601.0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>
        <v>602.0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>
        <v>603.0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>
        <v>604.0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>
        <v>605.0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>
        <v>606.0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>
        <v>607.0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>
        <v>608.0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>
        <v>609.0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>
        <v>610.0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>
        <v>611.0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>
        <v>612.0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>
        <v>613.0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>
        <v>614.0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>
        <v>615.0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>
        <v>616.0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>
        <v>617.0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>
        <v>618.0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>
        <v>619.0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>
        <v>620.0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>
        <v>621.0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>
        <v>622.0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>
        <v>623.0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>
        <v>624.0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>
        <v>625.0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>
        <v>626.0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>
        <v>627.0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>
        <v>628.0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>
        <v>629.0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>
        <v>630.0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>
        <v>631.0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>
        <v>632.0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>
        <v>633.0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>
        <v>634.0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>
        <v>635.0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>
        <v>636.0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>
        <v>637.0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>
        <v>638.0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>
        <v>639.0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>
        <v>640.0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>
        <v>641.0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>
        <v>642.0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>
        <v>643.0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>
        <v>644.0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>
        <v>645.0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>
        <v>646.0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>
        <v>647.0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>
        <v>648.0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>
        <v>649.0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>
        <v>650.0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>
        <v>651.0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>
        <v>652.0</v>
      </c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>
        <v>653.0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>
        <v>654.0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>
        <v>655.0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>
        <v>656.0</v>
      </c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>
        <v>657.0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>
        <v>658.0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>
        <v>659.0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>
        <v>660.0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>
        <v>661.0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>
        <v>662.0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>
        <v>663.0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>
        <v>664.0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>
        <v>665.0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>
        <v>666.0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>
        <v>667.0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>
        <v>668.0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>
        <v>669.0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>
        <v>670.0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>
        <v>671.0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>
        <v>672.0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>
        <v>673.0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>
        <v>674.0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>
        <v>675.0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>
        <v>676.0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>
        <v>677.0</v>
      </c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>
        <v>678.0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>
        <v>679.0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>
        <v>680.0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>
        <v>681.0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>
        <v>682.0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>
        <v>683.0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>
        <v>684.0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>
        <v>685.0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>
        <v>686.0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>
        <v>687.0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>
        <v>688.0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>
        <v>689.0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>
        <v>690.0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>
        <v>691.0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>
        <v>692.0</v>
      </c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>
        <v>693.0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>
        <v>694.0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>
        <v>695.0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>
        <v>696.0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>
        <v>697.0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>
        <v>698.0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>
        <v>699.0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>
        <v>700.0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>
        <v>701.0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>
        <v>702.0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>
        <v>703.0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>
        <v>704.0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>
        <v>705.0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>
        <v>706.0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>
        <v>707.0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>
        <v>708.0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>
        <v>709.0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>
        <v>710.0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>
        <v>711.0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>
        <v>712.0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>
        <v>713.0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>
        <v>714.0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>
        <v>715.0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>
        <v>716.0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>
        <v>717.0</v>
      </c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>
        <v>718.0</v>
      </c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>
        <v>719.0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>
        <v>720.0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>
        <v>721.0</v>
      </c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>
        <v>722.0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>
        <v>723.0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>
        <v>724.0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>
        <v>725.0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>
        <v>726.0</v>
      </c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>
        <v>727.0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>
        <v>728.0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>
        <v>729.0</v>
      </c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>
        <v>730.0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>
        <v>731.0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>
        <v>732.0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>
        <v>733.0</v>
      </c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>
        <v>734.0</v>
      </c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>
        <v>735.0</v>
      </c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>
        <v>736.0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>
        <v>737.0</v>
      </c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>
        <v>738.0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>
        <v>739.0</v>
      </c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>
        <v>740.0</v>
      </c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>
        <v>741.0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>
        <v>742.0</v>
      </c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>
        <v>743.0</v>
      </c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>
        <v>744.0</v>
      </c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>
        <v>745.0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>
        <v>746.0</v>
      </c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>
        <v>747.0</v>
      </c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>
        <v>748.0</v>
      </c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>
        <v>749.0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>
        <v>750.0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>
        <v>751.0</v>
      </c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>
        <v>752.0</v>
      </c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>
        <v>753.0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>
        <v>754.0</v>
      </c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>
        <v>755.0</v>
      </c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>
        <v>756.0</v>
      </c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>
        <v>757.0</v>
      </c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>
        <v>758.0</v>
      </c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>
        <v>759.0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>
        <v>760.0</v>
      </c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>
        <v>761.0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>
        <v>762.0</v>
      </c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>
        <v>763.0</v>
      </c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>
        <v>764.0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>
        <v>765.0</v>
      </c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>
        <v>766.0</v>
      </c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>
        <v>767.0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>
        <v>768.0</v>
      </c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>
        <v>769.0</v>
      </c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>
        <v>770.0</v>
      </c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>
        <v>771.0</v>
      </c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>
        <v>772.0</v>
      </c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>
        <v>773.0</v>
      </c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>
        <v>774.0</v>
      </c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>
        <v>775.0</v>
      </c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>
        <v>776.0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>
        <v>777.0</v>
      </c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>
        <v>778.0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>
        <v>779.0</v>
      </c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>
        <v>780.0</v>
      </c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>
        <v>781.0</v>
      </c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>
        <v>782.0</v>
      </c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>
        <v>783.0</v>
      </c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>
        <v>784.0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>
        <v>785.0</v>
      </c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>
        <v>786.0</v>
      </c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>
        <v>787.0</v>
      </c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>
        <v>788.0</v>
      </c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>
        <v>789.0</v>
      </c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>
        <v>790.0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>
        <v>791.0</v>
      </c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>
        <v>792.0</v>
      </c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>
        <v>793.0</v>
      </c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>
        <v>794.0</v>
      </c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>
        <v>795.0</v>
      </c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>
        <v>796.0</v>
      </c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>
        <v>797.0</v>
      </c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>
        <v>798.0</v>
      </c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>
        <v>799.0</v>
      </c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>
        <v>800.0</v>
      </c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>
        <v>801.0</v>
      </c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>
        <v>802.0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>
        <v>803.0</v>
      </c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>
        <v>804.0</v>
      </c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>
        <v>805.0</v>
      </c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>
        <v>806.0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>
        <v>807.0</v>
      </c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>
        <v>808.0</v>
      </c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>
        <v>809.0</v>
      </c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>
        <v>810.0</v>
      </c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>
        <v>811.0</v>
      </c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>
        <v>812.0</v>
      </c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>
        <v>813.0</v>
      </c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>
        <v>814.0</v>
      </c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>
        <v>815.0</v>
      </c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>
        <v>816.0</v>
      </c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>
        <v>817.0</v>
      </c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>
        <v>818.0</v>
      </c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>
        <v>819.0</v>
      </c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>
        <v>820.0</v>
      </c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>
        <v>821.0</v>
      </c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>
        <v>822.0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>
        <v>823.0</v>
      </c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>
        <v>824.0</v>
      </c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>
        <v>825.0</v>
      </c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>
        <v>826.0</v>
      </c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>
        <v>827.0</v>
      </c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>
        <v>828.0</v>
      </c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>
        <v>829.0</v>
      </c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>
        <v>830.0</v>
      </c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>
        <v>831.0</v>
      </c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>
        <v>832.0</v>
      </c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>
        <v>833.0</v>
      </c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>
        <v>834.0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>
        <v>835.0</v>
      </c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>
        <v>836.0</v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>
        <v>837.0</v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>
        <v>838.0</v>
      </c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>
        <v>839.0</v>
      </c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>
        <v>840.0</v>
      </c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>
        <v>841.0</v>
      </c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>
        <v>842.0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>
        <v>843.0</v>
      </c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>
        <v>844.0</v>
      </c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>
        <v>845.0</v>
      </c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>
        <v>846.0</v>
      </c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>
        <v>847.0</v>
      </c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>
        <v>848.0</v>
      </c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>
        <v>849.0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>
        <v>850.0</v>
      </c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>
        <v>851.0</v>
      </c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>
        <v>852.0</v>
      </c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>
        <v>853.0</v>
      </c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>
        <v>854.0</v>
      </c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>
        <v>855.0</v>
      </c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>
        <v>856.0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>
        <v>857.0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>
        <v>858.0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>
        <v>859.0</v>
      </c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>
        <v>860.0</v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>
        <v>861.0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>
        <v>862.0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>
        <v>863.0</v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>
        <v>864.0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>
        <v>865.0</v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>
        <v>866.0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>
        <v>867.0</v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>
        <v>868.0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>
        <v>869.0</v>
      </c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>
        <v>870.0</v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>
        <v>871.0</v>
      </c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>
        <v>872.0</v>
      </c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>
        <v>873.0</v>
      </c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>
        <v>874.0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>
        <v>875.0</v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>
        <v>876.0</v>
      </c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>
        <v>877.0</v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>
        <v>878.0</v>
      </c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>
        <v>879.0</v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>
        <v>880.0</v>
      </c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>
        <v>881.0</v>
      </c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>
        <v>882.0</v>
      </c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>
        <v>883.0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>
        <v>884.0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>
        <v>885.0</v>
      </c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>
        <v>886.0</v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>
        <v>887.0</v>
      </c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>
        <v>888.0</v>
      </c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>
        <v>889.0</v>
      </c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>
        <v>890.0</v>
      </c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>
        <v>891.0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>
        <v>892.0</v>
      </c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>
        <v>893.0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>
        <v>894.0</v>
      </c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>
        <v>895.0</v>
      </c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>
        <v>896.0</v>
      </c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>
        <v>897.0</v>
      </c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>
        <v>898.0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>
        <v>899.0</v>
      </c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>
        <v>900.0</v>
      </c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>
        <v>901.0</v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>
        <v>902.0</v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>
        <v>903.0</v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>
        <v>904.0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>
        <v>905.0</v>
      </c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>
        <v>906.0</v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>
        <v>907.0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>
        <v>908.0</v>
      </c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>
        <v>909.0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>
        <v>910.0</v>
      </c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>
        <v>911.0</v>
      </c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>
        <v>912.0</v>
      </c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>
        <v>913.0</v>
      </c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>
        <v>914.0</v>
      </c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>
        <v>915.0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>
        <v>916.0</v>
      </c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>
        <v>917.0</v>
      </c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>
        <v>918.0</v>
      </c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>
        <v>919.0</v>
      </c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>
        <v>920.0</v>
      </c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>
        <v>921.0</v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>
        <v>922.0</v>
      </c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>
        <v>923.0</v>
      </c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>
        <v>924.0</v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>
        <v>925.0</v>
      </c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>
        <v>926.0</v>
      </c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>
        <v>927.0</v>
      </c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>
        <v>928.0</v>
      </c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>
        <v>929.0</v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>
        <v>930.0</v>
      </c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>
        <v>931.0</v>
      </c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>
        <v>932.0</v>
      </c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>
        <v>933.0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>
        <v>934.0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>
        <v>935.0</v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>
        <v>936.0</v>
      </c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>
        <v>937.0</v>
      </c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>
        <v>938.0</v>
      </c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>
        <v>939.0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>
        <v>940.0</v>
      </c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>
        <v>941.0</v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>
        <v>942.0</v>
      </c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>
        <v>943.0</v>
      </c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>
        <v>944.0</v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>
        <v>945.0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>
        <v>946.0</v>
      </c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>
        <v>947.0</v>
      </c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>
        <v>948.0</v>
      </c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>
        <v>949.0</v>
      </c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>
        <v>950.0</v>
      </c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>
        <v>951.0</v>
      </c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>
        <v>952.0</v>
      </c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>
        <v>953.0</v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>
        <v>954.0</v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>
        <v>955.0</v>
      </c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>
        <v>956.0</v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>
        <v>957.0</v>
      </c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>
        <v>958.0</v>
      </c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>
        <v>959.0</v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>
        <v>960.0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>
        <v>961.0</v>
      </c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>
        <v>962.0</v>
      </c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>
        <v>963.0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>
        <v>964.0</v>
      </c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>
        <v>965.0</v>
      </c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>
        <v>966.0</v>
      </c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>
        <v>967.0</v>
      </c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>
        <v>968.0</v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>
        <v>969.0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>
        <v>970.0</v>
      </c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>
        <v>971.0</v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>
        <v>972.0</v>
      </c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>
        <v>973.0</v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>
        <v>974.0</v>
      </c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>
        <v>975.0</v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>
        <v>976.0</v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>
        <v>977.0</v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>
        <v>978.0</v>
      </c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>
        <v>979.0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>
        <v>980.0</v>
      </c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>
        <v>981.0</v>
      </c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>
        <v>982.0</v>
      </c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>
        <v>983.0</v>
      </c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>
        <v>984.0</v>
      </c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>
        <v>985.0</v>
      </c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>
        <v>986.0</v>
      </c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>
        <v>987.0</v>
      </c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>
        <v>988.0</v>
      </c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>
        <v>989.0</v>
      </c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>
        <v>990.0</v>
      </c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>
        <v>991.0</v>
      </c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>
        <v>992.0</v>
      </c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>
        <v>993.0</v>
      </c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>
        <v>994.0</v>
      </c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>
        <v>995.0</v>
      </c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2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>
        <v>996.0</v>
      </c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2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>
        <v>997.0</v>
      </c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2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>
        <v>998.0</v>
      </c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2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>
        <v>999.0</v>
      </c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</sheetData>
  <mergeCells count="2">
    <mergeCell ref="B2:D2"/>
    <mergeCell ref="A11:C11"/>
  </mergeCells>
  <dataValidations>
    <dataValidation type="custom" allowBlank="1" showErrorMessage="1" sqref="B13:B39">
      <formula1>AND(GTE(LEN(B13),MIN((1),(100))),LTE(LEN(B13),MAX((1),(100))))</formula1>
    </dataValidation>
    <dataValidation type="list" allowBlank="1" showErrorMessage="1" sqref="D13:D39">
      <formula1>$B$7:$B$9</formula1>
    </dataValidation>
  </dataValidations>
  <printOptions/>
  <pageMargins bottom="0.984027777777778" footer="0.0" header="0.0" left="0.7875" right="0.7875" top="0.984027777777778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40.38"/>
    <col customWidth="1" min="4" max="4" width="5.25"/>
    <col customWidth="1" min="5" max="5" width="10.38"/>
    <col customWidth="1" min="6" max="6" width="9.13"/>
    <col customWidth="1" min="7" max="7" width="10.0"/>
    <col customWidth="1" min="8" max="9" width="62.0"/>
    <col customWidth="1" min="10" max="26" width="8.75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3" t="s">
        <v>5</v>
      </c>
      <c r="C4" s="4"/>
      <c r="D4" s="4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32" t="s">
        <v>14</v>
      </c>
      <c r="C7" s="34"/>
      <c r="D7" s="34"/>
      <c r="E7" s="3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40" t="s">
        <v>19</v>
      </c>
      <c r="C8" s="45" t="s">
        <v>21</v>
      </c>
      <c r="D8" s="45" t="s">
        <v>7</v>
      </c>
      <c r="E8" s="45" t="s">
        <v>23</v>
      </c>
      <c r="F8" s="1"/>
      <c r="G8" s="1"/>
      <c r="H8" s="48" t="s">
        <v>24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46" t="s">
        <v>27</v>
      </c>
      <c r="C9" s="53" t="s">
        <v>28</v>
      </c>
      <c r="D9" s="46">
        <v>2.0</v>
      </c>
      <c r="E9" s="46">
        <v>3.0</v>
      </c>
      <c r="F9" s="1"/>
      <c r="G9" s="1"/>
      <c r="H9" s="58" t="s">
        <v>31</v>
      </c>
      <c r="I9" s="3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46" t="s">
        <v>33</v>
      </c>
      <c r="C10" s="53" t="s">
        <v>34</v>
      </c>
      <c r="D10" s="46">
        <v>1.0</v>
      </c>
      <c r="E10" s="46">
        <v>3.0</v>
      </c>
      <c r="F10" s="1"/>
      <c r="G10" s="1"/>
      <c r="H10" s="58" t="s">
        <v>35</v>
      </c>
      <c r="I10" s="3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46" t="s">
        <v>36</v>
      </c>
      <c r="C11" s="53" t="s">
        <v>38</v>
      </c>
      <c r="D11" s="46">
        <v>1.0</v>
      </c>
      <c r="E11" s="46">
        <v>3.0</v>
      </c>
      <c r="F11" s="1"/>
      <c r="G11" s="1"/>
      <c r="H11" s="58" t="s">
        <v>39</v>
      </c>
      <c r="I11" s="3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46" t="s">
        <v>41</v>
      </c>
      <c r="C12" s="53" t="s">
        <v>42</v>
      </c>
      <c r="D12" s="46">
        <v>1.0</v>
      </c>
      <c r="E12" s="46">
        <v>2.0</v>
      </c>
      <c r="F12" s="1"/>
      <c r="G12" s="1"/>
      <c r="H12" s="58" t="s">
        <v>45</v>
      </c>
      <c r="I12" s="3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46" t="s">
        <v>47</v>
      </c>
      <c r="C13" s="53" t="s">
        <v>48</v>
      </c>
      <c r="D13" s="46">
        <v>1.0</v>
      </c>
      <c r="E13" s="46">
        <v>2.0</v>
      </c>
      <c r="F13" s="1"/>
      <c r="G13" s="1"/>
      <c r="H13" s="58" t="s">
        <v>49</v>
      </c>
      <c r="I13" s="3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46" t="s">
        <v>52</v>
      </c>
      <c r="C14" s="53" t="s">
        <v>53</v>
      </c>
      <c r="D14" s="46">
        <v>0.5</v>
      </c>
      <c r="E14" s="46">
        <v>2.0</v>
      </c>
      <c r="F14" s="1"/>
      <c r="G14" s="1"/>
      <c r="H14" s="58" t="s">
        <v>54</v>
      </c>
      <c r="I14" s="3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46" t="s">
        <v>55</v>
      </c>
      <c r="C15" s="53" t="s">
        <v>56</v>
      </c>
      <c r="D15" s="46">
        <v>0.5</v>
      </c>
      <c r="E15" s="46">
        <v>4.0</v>
      </c>
      <c r="F15" s="1"/>
      <c r="G15" s="1"/>
      <c r="H15" s="58" t="s">
        <v>59</v>
      </c>
      <c r="I15" s="3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46" t="s">
        <v>61</v>
      </c>
      <c r="C16" s="53" t="s">
        <v>62</v>
      </c>
      <c r="D16" s="46">
        <v>2.0</v>
      </c>
      <c r="E16" s="46">
        <v>4.0</v>
      </c>
      <c r="F16" s="1"/>
      <c r="G16" s="1"/>
      <c r="H16" s="58" t="s">
        <v>63</v>
      </c>
      <c r="I16" s="3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46" t="s">
        <v>66</v>
      </c>
      <c r="C17" s="53" t="s">
        <v>67</v>
      </c>
      <c r="D17" s="46">
        <v>1.0</v>
      </c>
      <c r="E17" s="46">
        <v>3.0</v>
      </c>
      <c r="F17" s="1"/>
      <c r="G17" s="1"/>
      <c r="H17" s="58" t="s">
        <v>69</v>
      </c>
      <c r="I17" s="3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46" t="s">
        <v>71</v>
      </c>
      <c r="C18" s="53" t="s">
        <v>72</v>
      </c>
      <c r="D18" s="46">
        <v>1.0</v>
      </c>
      <c r="E18" s="46">
        <v>3.0</v>
      </c>
      <c r="F18" s="1"/>
      <c r="G18" s="1"/>
      <c r="H18" s="58" t="s">
        <v>75</v>
      </c>
      <c r="I18" s="3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46" t="s">
        <v>78</v>
      </c>
      <c r="C19" s="53" t="s">
        <v>80</v>
      </c>
      <c r="D19" s="46">
        <v>1.0</v>
      </c>
      <c r="E19" s="46">
        <v>3.0</v>
      </c>
      <c r="F19" s="1"/>
      <c r="G19" s="1"/>
      <c r="H19" s="58" t="s">
        <v>81</v>
      </c>
      <c r="I19" s="3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46" t="s">
        <v>85</v>
      </c>
      <c r="C20" s="53" t="s">
        <v>86</v>
      </c>
      <c r="D20" s="46">
        <v>1.0</v>
      </c>
      <c r="E20" s="46">
        <v>2.0</v>
      </c>
      <c r="F20" s="1"/>
      <c r="G20" s="1"/>
      <c r="H20" s="58" t="s">
        <v>89</v>
      </c>
      <c r="I20" s="3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46" t="s">
        <v>92</v>
      </c>
      <c r="C21" s="53" t="s">
        <v>94</v>
      </c>
      <c r="D21" s="46">
        <v>1.0</v>
      </c>
      <c r="E21" s="46">
        <v>1.0</v>
      </c>
      <c r="F21" s="1"/>
      <c r="G21" s="1"/>
      <c r="H21" s="58" t="s">
        <v>96</v>
      </c>
      <c r="I21" s="3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92" t="s">
        <v>100</v>
      </c>
      <c r="C22" s="34"/>
      <c r="D22" s="36"/>
      <c r="E22" s="99">
        <f>0.6+(0.01*SUM(D9*E9,D10*E10,D11*E11,D12*E12,D13*E13,D14*E14,D15*E15,D16*E16,D17*E17,D18*E18,D19*E19,D20*E20,D21*E21))</f>
        <v>0.99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32" t="s">
        <v>116</v>
      </c>
      <c r="C26" s="34"/>
      <c r="D26" s="34"/>
      <c r="E26" s="103"/>
      <c r="F26" s="104"/>
      <c r="G26" s="10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08" t="s">
        <v>19</v>
      </c>
      <c r="C27" s="109" t="s">
        <v>21</v>
      </c>
      <c r="D27" s="80"/>
      <c r="E27" s="81"/>
      <c r="F27" s="108" t="s">
        <v>7</v>
      </c>
      <c r="G27" s="108" t="s">
        <v>23</v>
      </c>
      <c r="H27" s="110" t="s">
        <v>24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46" t="s">
        <v>117</v>
      </c>
      <c r="C28" s="111" t="s">
        <v>118</v>
      </c>
      <c r="D28" s="34"/>
      <c r="E28" s="36"/>
      <c r="F28" s="46">
        <v>1.5</v>
      </c>
      <c r="G28" s="46">
        <v>3.0</v>
      </c>
      <c r="H28" s="112" t="s">
        <v>119</v>
      </c>
      <c r="I28" s="3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46" t="s">
        <v>120</v>
      </c>
      <c r="C29" s="111" t="s">
        <v>121</v>
      </c>
      <c r="D29" s="34"/>
      <c r="E29" s="36"/>
      <c r="F29" s="46">
        <v>0.5</v>
      </c>
      <c r="G29" s="46">
        <v>2.0</v>
      </c>
      <c r="H29" s="112" t="s">
        <v>122</v>
      </c>
      <c r="I29" s="3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46" t="s">
        <v>123</v>
      </c>
      <c r="C30" s="111" t="s">
        <v>124</v>
      </c>
      <c r="D30" s="34"/>
      <c r="E30" s="36"/>
      <c r="F30" s="46">
        <v>1.0</v>
      </c>
      <c r="G30" s="46">
        <v>3.0</v>
      </c>
      <c r="H30" s="112" t="s">
        <v>125</v>
      </c>
      <c r="I30" s="3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46" t="s">
        <v>126</v>
      </c>
      <c r="C31" s="111" t="s">
        <v>127</v>
      </c>
      <c r="D31" s="34"/>
      <c r="E31" s="36"/>
      <c r="F31" s="46">
        <v>0.5</v>
      </c>
      <c r="G31" s="46">
        <v>3.0</v>
      </c>
      <c r="H31" s="112" t="s">
        <v>128</v>
      </c>
      <c r="I31" s="3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46" t="s">
        <v>129</v>
      </c>
      <c r="C32" s="111" t="s">
        <v>130</v>
      </c>
      <c r="D32" s="34"/>
      <c r="E32" s="36"/>
      <c r="F32" s="46">
        <v>1.0</v>
      </c>
      <c r="G32" s="46">
        <v>4.0</v>
      </c>
      <c r="H32" s="112" t="s">
        <v>131</v>
      </c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46" t="s">
        <v>132</v>
      </c>
      <c r="C33" s="111" t="s">
        <v>133</v>
      </c>
      <c r="D33" s="34"/>
      <c r="E33" s="36"/>
      <c r="F33" s="46">
        <v>2.0</v>
      </c>
      <c r="G33" s="46">
        <v>4.0</v>
      </c>
      <c r="H33" s="112" t="s">
        <v>134</v>
      </c>
      <c r="I33" s="3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46" t="s">
        <v>135</v>
      </c>
      <c r="C34" s="111" t="s">
        <v>136</v>
      </c>
      <c r="D34" s="34"/>
      <c r="E34" s="36"/>
      <c r="F34" s="46">
        <v>-1.0</v>
      </c>
      <c r="G34" s="46">
        <v>4.0</v>
      </c>
      <c r="H34" s="112" t="s">
        <v>137</v>
      </c>
      <c r="I34" s="3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46" t="s">
        <v>138</v>
      </c>
      <c r="C35" s="111" t="s">
        <v>139</v>
      </c>
      <c r="D35" s="34"/>
      <c r="E35" s="36"/>
      <c r="F35" s="46">
        <v>-1.0</v>
      </c>
      <c r="G35" s="46">
        <v>2.0</v>
      </c>
      <c r="H35" s="112" t="s">
        <v>140</v>
      </c>
      <c r="I35" s="3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92" t="s">
        <v>141</v>
      </c>
      <c r="C36" s="34"/>
      <c r="D36" s="34"/>
      <c r="E36" s="34"/>
      <c r="F36" s="36"/>
      <c r="G36" s="88">
        <f>1.4+(-0.03*SUM(F28*G28,F29*G29,F30*G30,F31*G31,F32*G32,F33*G33,F34*G34,F35*G35))</f>
        <v>0.92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C30:E30"/>
    <mergeCell ref="C31:E31"/>
    <mergeCell ref="C32:E32"/>
    <mergeCell ref="C33:E33"/>
    <mergeCell ref="C34:E34"/>
    <mergeCell ref="C35:E35"/>
    <mergeCell ref="B36:F36"/>
    <mergeCell ref="B4:E4"/>
    <mergeCell ref="B7:E7"/>
    <mergeCell ref="B22:D22"/>
    <mergeCell ref="B26:E26"/>
    <mergeCell ref="C27:E27"/>
    <mergeCell ref="C28:E28"/>
    <mergeCell ref="C29:E29"/>
  </mergeCells>
  <dataValidations>
    <dataValidation type="decimal" allowBlank="1" showErrorMessage="1" sqref="E9:E21 I9:I21 G28:G35 I28:I35">
      <formula1>0.0</formula1>
      <formula2>5.0</formula2>
    </dataValidation>
  </dataValidations>
  <printOptions/>
  <pageMargins bottom="0.984027777777778" footer="0.0" header="0.0" left="0.7875" right="0.7875" top="0.984027777777778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3" width="11.63"/>
    <col customWidth="1" min="4" max="4" width="15.0"/>
    <col customWidth="1" min="5" max="5" width="14.25"/>
    <col customWidth="1" min="6" max="6" width="20.63"/>
    <col customWidth="1" min="7" max="7" width="16.75"/>
    <col customWidth="1" min="8" max="8" width="20.75"/>
    <col customWidth="1" min="9" max="32" width="12.0"/>
  </cols>
  <sheetData>
    <row r="1" ht="17.25" customHeight="1">
      <c r="A1" s="1"/>
      <c r="B1" s="113" t="s">
        <v>142</v>
      </c>
      <c r="C1" s="4"/>
      <c r="D1" s="4"/>
      <c r="E1" s="4"/>
      <c r="F1" s="4"/>
      <c r="G1" s="4"/>
      <c r="H1" s="4"/>
      <c r="I1" s="4"/>
      <c r="J1" s="4"/>
      <c r="K1" s="4"/>
      <c r="L1" s="5"/>
      <c r="M1" s="11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2.75" customHeight="1">
      <c r="A5" s="1"/>
      <c r="B5" s="115" t="s">
        <v>143</v>
      </c>
      <c r="C5" s="116" t="s">
        <v>144</v>
      </c>
      <c r="D5" s="116" t="s">
        <v>145</v>
      </c>
      <c r="E5" s="117" t="s">
        <v>146</v>
      </c>
      <c r="F5" s="117" t="s">
        <v>147</v>
      </c>
      <c r="G5" s="117" t="s">
        <v>148</v>
      </c>
      <c r="H5" s="117" t="s">
        <v>149</v>
      </c>
      <c r="I5" s="117" t="s">
        <v>150</v>
      </c>
      <c r="J5" s="117" t="s">
        <v>151</v>
      </c>
      <c r="K5" s="117" t="s">
        <v>152</v>
      </c>
      <c r="L5" s="118" t="s">
        <v>153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2.75" customHeight="1">
      <c r="A6" s="1"/>
      <c r="B6" s="119" t="s">
        <v>154</v>
      </c>
      <c r="C6" s="24">
        <v>190.0</v>
      </c>
      <c r="D6" s="46">
        <f t="shared" ref="D6:D9" si="1">SUM(E6:K6)</f>
        <v>323</v>
      </c>
      <c r="E6" s="120">
        <v>12.0</v>
      </c>
      <c r="F6" s="120">
        <v>40.0</v>
      </c>
      <c r="G6" s="120">
        <v>12.0</v>
      </c>
      <c r="H6" s="120">
        <v>200.0</v>
      </c>
      <c r="I6" s="120">
        <v>10.0</v>
      </c>
      <c r="J6" s="120">
        <v>25.0</v>
      </c>
      <c r="K6" s="120">
        <v>24.0</v>
      </c>
      <c r="L6" s="121">
        <f t="shared" ref="L6:L9" si="2">D6/C6</f>
        <v>1.7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2.75" customHeight="1">
      <c r="A7" s="1"/>
      <c r="B7" s="119" t="s">
        <v>155</v>
      </c>
      <c r="C7" s="46">
        <v>130.0</v>
      </c>
      <c r="D7" s="46">
        <f t="shared" si="1"/>
        <v>191</v>
      </c>
      <c r="E7" s="122">
        <v>10.0</v>
      </c>
      <c r="F7" s="122">
        <v>60.0</v>
      </c>
      <c r="G7" s="122">
        <v>15.0</v>
      </c>
      <c r="H7" s="122">
        <v>50.0</v>
      </c>
      <c r="I7" s="122">
        <v>10.0</v>
      </c>
      <c r="J7" s="122">
        <v>30.0</v>
      </c>
      <c r="K7" s="122">
        <v>16.0</v>
      </c>
      <c r="L7" s="121">
        <f t="shared" si="2"/>
        <v>1.469230769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2.75" customHeight="1">
      <c r="A8" s="1"/>
      <c r="B8" s="119" t="s">
        <v>156</v>
      </c>
      <c r="C8" s="46">
        <v>140.0</v>
      </c>
      <c r="D8" s="46">
        <f t="shared" si="1"/>
        <v>230</v>
      </c>
      <c r="E8" s="123">
        <v>9.0</v>
      </c>
      <c r="F8" s="123">
        <v>45.0</v>
      </c>
      <c r="G8" s="123">
        <v>16.0</v>
      </c>
      <c r="H8" s="123">
        <v>100.0</v>
      </c>
      <c r="I8" s="123">
        <v>12.0</v>
      </c>
      <c r="J8" s="123">
        <v>32.0</v>
      </c>
      <c r="K8" s="123">
        <v>16.0</v>
      </c>
      <c r="L8" s="121">
        <f t="shared" si="2"/>
        <v>1.642857143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2.75" customHeight="1">
      <c r="A9" s="1"/>
      <c r="B9" s="119" t="s">
        <v>157</v>
      </c>
      <c r="C9" s="46">
        <v>125.0</v>
      </c>
      <c r="D9" s="46">
        <f t="shared" si="1"/>
        <v>268</v>
      </c>
      <c r="E9" s="122">
        <v>11.0</v>
      </c>
      <c r="F9" s="122">
        <v>40.0</v>
      </c>
      <c r="G9" s="122">
        <v>16.0</v>
      </c>
      <c r="H9" s="122">
        <v>150.0</v>
      </c>
      <c r="I9" s="122">
        <v>8.0</v>
      </c>
      <c r="J9" s="122">
        <v>35.0</v>
      </c>
      <c r="K9" s="122">
        <v>8.0</v>
      </c>
      <c r="L9" s="121">
        <f t="shared" si="2"/>
        <v>2.144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2.75" customHeight="1">
      <c r="A10" s="1"/>
      <c r="B10" s="124"/>
      <c r="C10" s="46"/>
      <c r="D10" s="46"/>
      <c r="E10" s="122"/>
      <c r="F10" s="122"/>
      <c r="G10" s="122"/>
      <c r="H10" s="122"/>
      <c r="I10" s="122"/>
      <c r="J10" s="122"/>
      <c r="K10" s="122"/>
      <c r="L10" s="12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2.75" customHeight="1">
      <c r="A11" s="1"/>
      <c r="B11" s="124"/>
      <c r="C11" s="46"/>
      <c r="D11" s="46"/>
      <c r="E11" s="122"/>
      <c r="F11" s="122"/>
      <c r="G11" s="122"/>
      <c r="H11" s="122"/>
      <c r="I11" s="122"/>
      <c r="J11" s="122"/>
      <c r="K11" s="122"/>
      <c r="L11" s="12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2.75" customHeight="1">
      <c r="A12" s="1"/>
      <c r="B12" s="124"/>
      <c r="C12" s="46"/>
      <c r="D12" s="46"/>
      <c r="E12" s="122"/>
      <c r="F12" s="122"/>
      <c r="G12" s="122"/>
      <c r="H12" s="122"/>
      <c r="I12" s="122"/>
      <c r="J12" s="122"/>
      <c r="K12" s="122"/>
      <c r="L12" s="12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2.75" customHeight="1">
      <c r="A13" s="1"/>
      <c r="B13" s="124"/>
      <c r="C13" s="46"/>
      <c r="D13" s="46"/>
      <c r="E13" s="122"/>
      <c r="F13" s="122"/>
      <c r="G13" s="122"/>
      <c r="H13" s="122"/>
      <c r="I13" s="122"/>
      <c r="J13" s="122"/>
      <c r="K13" s="122"/>
      <c r="L13" s="1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2.75" customHeight="1">
      <c r="A14" s="1"/>
      <c r="B14" s="124"/>
      <c r="C14" s="46"/>
      <c r="D14" s="46"/>
      <c r="E14" s="122"/>
      <c r="F14" s="122"/>
      <c r="G14" s="122"/>
      <c r="H14" s="122"/>
      <c r="I14" s="122"/>
      <c r="J14" s="122"/>
      <c r="K14" s="122"/>
      <c r="L14" s="12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2.75" customHeight="1">
      <c r="A15" s="1"/>
      <c r="B15" s="124"/>
      <c r="C15" s="46"/>
      <c r="D15" s="46"/>
      <c r="E15" s="122"/>
      <c r="F15" s="122"/>
      <c r="G15" s="122"/>
      <c r="H15" s="122"/>
      <c r="I15" s="122"/>
      <c r="J15" s="122"/>
      <c r="K15" s="122"/>
      <c r="L15" s="12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2.75" customHeight="1">
      <c r="A16" s="1"/>
      <c r="B16" s="124"/>
      <c r="C16" s="46"/>
      <c r="D16" s="46"/>
      <c r="E16" s="122"/>
      <c r="F16" s="122"/>
      <c r="G16" s="122"/>
      <c r="H16" s="122"/>
      <c r="I16" s="122"/>
      <c r="J16" s="122"/>
      <c r="K16" s="122"/>
      <c r="L16" s="12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2.75" customHeight="1">
      <c r="A17" s="1"/>
      <c r="B17" s="124"/>
      <c r="C17" s="46"/>
      <c r="D17" s="46"/>
      <c r="E17" s="122"/>
      <c r="F17" s="122"/>
      <c r="G17" s="122"/>
      <c r="H17" s="122"/>
      <c r="I17" s="122"/>
      <c r="J17" s="122"/>
      <c r="K17" s="122"/>
      <c r="L17" s="12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2.75" customHeight="1">
      <c r="A18" s="1"/>
      <c r="B18" s="124"/>
      <c r="C18" s="46"/>
      <c r="D18" s="46"/>
      <c r="E18" s="122"/>
      <c r="F18" s="122"/>
      <c r="G18" s="122"/>
      <c r="H18" s="122"/>
      <c r="I18" s="122"/>
      <c r="J18" s="122"/>
      <c r="K18" s="122"/>
      <c r="L18" s="12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2.75" customHeight="1">
      <c r="A19" s="1"/>
      <c r="B19" s="124"/>
      <c r="C19" s="46"/>
      <c r="D19" s="46"/>
      <c r="E19" s="122"/>
      <c r="F19" s="122"/>
      <c r="G19" s="122"/>
      <c r="H19" s="122"/>
      <c r="I19" s="122"/>
      <c r="J19" s="122"/>
      <c r="K19" s="122"/>
      <c r="L19" s="12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2.75" customHeight="1">
      <c r="A20" s="1"/>
      <c r="B20" s="124"/>
      <c r="C20" s="46"/>
      <c r="D20" s="46"/>
      <c r="E20" s="122"/>
      <c r="F20" s="122"/>
      <c r="G20" s="122"/>
      <c r="H20" s="122"/>
      <c r="I20" s="122"/>
      <c r="J20" s="122"/>
      <c r="K20" s="122"/>
      <c r="L20" s="12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2.75" customHeight="1">
      <c r="A21" s="1"/>
      <c r="B21" s="124"/>
      <c r="C21" s="46"/>
      <c r="D21" s="46"/>
      <c r="E21" s="122"/>
      <c r="F21" s="122"/>
      <c r="G21" s="122"/>
      <c r="H21" s="122"/>
      <c r="I21" s="122"/>
      <c r="J21" s="122"/>
      <c r="K21" s="122"/>
      <c r="L21" s="12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2.75" customHeight="1">
      <c r="A22" s="1"/>
      <c r="B22" s="124"/>
      <c r="C22" s="46"/>
      <c r="D22" s="46"/>
      <c r="E22" s="122"/>
      <c r="F22" s="122"/>
      <c r="G22" s="122"/>
      <c r="H22" s="122"/>
      <c r="I22" s="122"/>
      <c r="J22" s="122"/>
      <c r="K22" s="122"/>
      <c r="L22" s="12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2.75" customHeight="1">
      <c r="A23" s="1"/>
      <c r="B23" s="124"/>
      <c r="C23" s="46"/>
      <c r="D23" s="46"/>
      <c r="E23" s="122"/>
      <c r="F23" s="122"/>
      <c r="G23" s="122"/>
      <c r="H23" s="122"/>
      <c r="I23" s="122"/>
      <c r="J23" s="122"/>
      <c r="K23" s="122"/>
      <c r="L23" s="12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2.75" customHeight="1">
      <c r="A24" s="1"/>
      <c r="B24" s="124"/>
      <c r="C24" s="46"/>
      <c r="D24" s="46"/>
      <c r="E24" s="122"/>
      <c r="F24" s="122"/>
      <c r="G24" s="122"/>
      <c r="H24" s="122"/>
      <c r="I24" s="122"/>
      <c r="J24" s="122"/>
      <c r="K24" s="122"/>
      <c r="L24" s="12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2.75" customHeight="1">
      <c r="A25" s="1"/>
      <c r="B25" s="124"/>
      <c r="C25" s="46"/>
      <c r="D25" s="46"/>
      <c r="E25" s="122"/>
      <c r="F25" s="122"/>
      <c r="G25" s="122"/>
      <c r="H25" s="122"/>
      <c r="I25" s="122"/>
      <c r="J25" s="122"/>
      <c r="K25" s="122"/>
      <c r="L25" s="12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2.75" customHeight="1">
      <c r="A26" s="1"/>
      <c r="B26" s="124"/>
      <c r="C26" s="46"/>
      <c r="D26" s="46"/>
      <c r="E26" s="122"/>
      <c r="F26" s="122"/>
      <c r="G26" s="122"/>
      <c r="H26" s="122"/>
      <c r="I26" s="122"/>
      <c r="J26" s="122"/>
      <c r="K26" s="122"/>
      <c r="L26" s="12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2.75" customHeight="1">
      <c r="A27" s="1"/>
      <c r="B27" s="124"/>
      <c r="C27" s="46"/>
      <c r="D27" s="46"/>
      <c r="E27" s="122"/>
      <c r="F27" s="122"/>
      <c r="G27" s="122"/>
      <c r="H27" s="122"/>
      <c r="I27" s="122"/>
      <c r="J27" s="122"/>
      <c r="K27" s="122"/>
      <c r="L27" s="12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2.75" customHeight="1">
      <c r="A28" s="1"/>
      <c r="B28" s="126"/>
      <c r="C28" s="68"/>
      <c r="D28" s="68"/>
      <c r="E28" s="127"/>
      <c r="F28" s="127"/>
      <c r="G28" s="127"/>
      <c r="H28" s="127"/>
      <c r="I28" s="127"/>
      <c r="J28" s="127"/>
      <c r="K28" s="127"/>
      <c r="L28" s="77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2.75" customHeight="1">
      <c r="A29" s="1"/>
      <c r="B29" s="28" t="s">
        <v>158</v>
      </c>
      <c r="C29" s="128"/>
      <c r="D29" s="128">
        <f t="shared" ref="D29:K29" si="3">SUM(D6:D28)</f>
        <v>1012</v>
      </c>
      <c r="E29" s="128">
        <f t="shared" si="3"/>
        <v>42</v>
      </c>
      <c r="F29" s="128">
        <f t="shared" si="3"/>
        <v>185</v>
      </c>
      <c r="G29" s="128">
        <f t="shared" si="3"/>
        <v>59</v>
      </c>
      <c r="H29" s="128">
        <f t="shared" si="3"/>
        <v>500</v>
      </c>
      <c r="I29" s="128">
        <f t="shared" si="3"/>
        <v>40</v>
      </c>
      <c r="J29" s="128">
        <f t="shared" si="3"/>
        <v>122</v>
      </c>
      <c r="K29" s="128">
        <f t="shared" si="3"/>
        <v>64</v>
      </c>
      <c r="L29" s="12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30" t="s">
        <v>159</v>
      </c>
      <c r="K30" s="43"/>
      <c r="L30" s="131">
        <v>4.0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2.75" customHeight="1">
      <c r="A31" s="1"/>
      <c r="B31" s="132" t="s">
        <v>160</v>
      </c>
      <c r="C31" s="133"/>
      <c r="D31" s="134"/>
      <c r="E31" s="135">
        <f t="shared" ref="E31:K31" si="4">(E29*1)/$D$29</f>
        <v>0.04150197628</v>
      </c>
      <c r="F31" s="135">
        <f t="shared" si="4"/>
        <v>0.1828063241</v>
      </c>
      <c r="G31" s="135">
        <f t="shared" si="4"/>
        <v>0.05830039526</v>
      </c>
      <c r="H31" s="135">
        <f t="shared" si="4"/>
        <v>0.4940711462</v>
      </c>
      <c r="I31" s="135">
        <f t="shared" si="4"/>
        <v>0.0395256917</v>
      </c>
      <c r="J31" s="135">
        <f t="shared" si="4"/>
        <v>0.1205533597</v>
      </c>
      <c r="K31" s="135">
        <f t="shared" si="4"/>
        <v>0.06324110672</v>
      </c>
      <c r="L31" s="136">
        <f>SUM(E31:K31)</f>
        <v>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2.75" customHeight="1"/>
    <row r="33" ht="12.75" customHeight="1">
      <c r="B33" s="110" t="s">
        <v>161</v>
      </c>
    </row>
    <row r="34" ht="12.75" customHeight="1">
      <c r="B34" s="115" t="s">
        <v>143</v>
      </c>
      <c r="C34" s="116" t="s">
        <v>144</v>
      </c>
      <c r="D34" s="116" t="s">
        <v>145</v>
      </c>
      <c r="E34" s="117" t="s">
        <v>146</v>
      </c>
      <c r="F34" s="117" t="s">
        <v>147</v>
      </c>
      <c r="G34" s="117" t="s">
        <v>148</v>
      </c>
      <c r="H34" s="117" t="s">
        <v>149</v>
      </c>
      <c r="I34" s="117" t="s">
        <v>150</v>
      </c>
      <c r="J34" s="117" t="s">
        <v>151</v>
      </c>
      <c r="K34" s="117" t="s">
        <v>152</v>
      </c>
      <c r="L34" s="118" t="s">
        <v>153</v>
      </c>
    </row>
    <row r="35" ht="12.75" customHeight="1">
      <c r="B35" s="137" t="s">
        <v>162</v>
      </c>
      <c r="C35" s="138">
        <f>Geral!E13</f>
        <v>100</v>
      </c>
      <c r="D35" s="139">
        <f>SUM(E35:K35)</f>
        <v>400</v>
      </c>
      <c r="E35" s="140">
        <f>Geral!J13</f>
        <v>16.60079051</v>
      </c>
      <c r="F35" s="140">
        <f>Geral!J14+Geral!J15</f>
        <v>73.12252964</v>
      </c>
      <c r="G35" s="140">
        <f>Geral!J16</f>
        <v>23.3201581</v>
      </c>
      <c r="H35" s="140">
        <f>Geral!J17</f>
        <v>197.6284585</v>
      </c>
      <c r="I35" s="140">
        <f>Geral!J19</f>
        <v>15.81027668</v>
      </c>
      <c r="J35" s="140">
        <f>Geral!J18</f>
        <v>48.22134387</v>
      </c>
      <c r="K35" s="140">
        <f>Geral!J20</f>
        <v>25.29644269</v>
      </c>
      <c r="L35" s="141">
        <f>D35/C35</f>
        <v>4</v>
      </c>
    </row>
    <row r="36" ht="12.75" customHeight="1">
      <c r="B36" s="110" t="s">
        <v>163</v>
      </c>
      <c r="E36" s="142">
        <f t="shared" ref="E36:K36" si="5">E35/$D$35</f>
        <v>0.04150197628</v>
      </c>
      <c r="F36" s="142">
        <f t="shared" si="5"/>
        <v>0.1828063241</v>
      </c>
      <c r="G36" s="142">
        <f t="shared" si="5"/>
        <v>0.05830039526</v>
      </c>
      <c r="H36" s="142">
        <f t="shared" si="5"/>
        <v>0.4940711462</v>
      </c>
      <c r="I36" s="142">
        <f t="shared" si="5"/>
        <v>0.0395256917</v>
      </c>
      <c r="J36" s="142">
        <f t="shared" si="5"/>
        <v>0.1205533597</v>
      </c>
      <c r="K36" s="142">
        <f t="shared" si="5"/>
        <v>0.06324110672</v>
      </c>
      <c r="L36" s="142">
        <f>SUM(E36:K36)</f>
        <v>1</v>
      </c>
    </row>
    <row r="37" ht="12.75" customHeight="1">
      <c r="B37" s="110" t="s">
        <v>164</v>
      </c>
      <c r="L37" s="143">
        <f>AVERAGE(L6:L9)</f>
        <v>1.739021978</v>
      </c>
    </row>
    <row r="38" ht="12.75" customHeight="1">
      <c r="B38" s="144" t="s">
        <v>165</v>
      </c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1:L1"/>
    <mergeCell ref="J30:K30"/>
  </mergeCells>
  <printOptions/>
  <pageMargins bottom="1.05277777777778" footer="0.0" header="0.0" left="0.7875" right="0.7875" top="1.05277777777778"/>
  <pageSetup paperSize="9" orientation="portrait"/>
  <headerFooter>
    <oddHeader>&amp;C &amp;A</oddHeader>
    <oddFooter>&amp;C Página &amp;P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58.0"/>
    <col customWidth="1" min="3" max="3" width="24.0"/>
    <col customWidth="1" min="4" max="8" width="14.0"/>
    <col customWidth="1" min="9" max="26" width="8.75"/>
  </cols>
  <sheetData>
    <row r="1" ht="17.25" customHeight="1">
      <c r="B1" s="145" t="s">
        <v>166</v>
      </c>
    </row>
    <row r="2" ht="15.0" customHeight="1">
      <c r="B2" s="144"/>
    </row>
    <row r="3" ht="12.75" customHeight="1"/>
    <row r="4" ht="15.0" customHeight="1">
      <c r="B4" s="146" t="s">
        <v>167</v>
      </c>
      <c r="C4" s="147">
        <v>6.0</v>
      </c>
      <c r="D4" s="144"/>
    </row>
    <row r="5" ht="15.0" customHeight="1">
      <c r="B5" s="146" t="s">
        <v>168</v>
      </c>
      <c r="C5" s="148">
        <v>0.8</v>
      </c>
      <c r="D5" s="144"/>
    </row>
    <row r="6" ht="15.0" customHeight="1">
      <c r="B6" s="146" t="s">
        <v>169</v>
      </c>
      <c r="C6" s="149">
        <f>1-C5</f>
        <v>0.2</v>
      </c>
    </row>
    <row r="7" ht="15.0" customHeight="1">
      <c r="B7" s="146" t="s">
        <v>170</v>
      </c>
      <c r="C7" s="150">
        <v>46313.0</v>
      </c>
      <c r="D7" s="144"/>
    </row>
    <row r="8" ht="12.75" customHeight="1"/>
    <row r="9" ht="15.0" customHeight="1">
      <c r="B9" s="151" t="s">
        <v>171</v>
      </c>
      <c r="C9" s="151" t="s">
        <v>21</v>
      </c>
    </row>
    <row r="10" ht="15.0" customHeight="1">
      <c r="B10" s="150">
        <v>46328.0</v>
      </c>
      <c r="C10" s="146" t="s">
        <v>172</v>
      </c>
      <c r="D10" s="144"/>
    </row>
    <row r="11" ht="15.0" customHeight="1">
      <c r="B11" s="152"/>
      <c r="C11" s="146"/>
    </row>
    <row r="12" ht="15.0" customHeight="1">
      <c r="B12" s="152"/>
      <c r="C12" s="146"/>
    </row>
    <row r="13" ht="15.0" customHeight="1">
      <c r="B13" s="152"/>
      <c r="C13" s="146"/>
    </row>
    <row r="14" ht="15.0" customHeight="1">
      <c r="B14" s="152"/>
      <c r="C14" s="146"/>
    </row>
    <row r="15" ht="12.75" customHeight="1"/>
    <row r="16" ht="12.75" customHeight="1"/>
    <row r="17" ht="15.0" customHeight="1">
      <c r="B17" s="153"/>
    </row>
    <row r="18" ht="42.0" customHeight="1">
      <c r="B18" s="154"/>
    </row>
    <row r="19" ht="42.0" customHeight="1">
      <c r="B19" s="155"/>
    </row>
    <row r="20" ht="42.0" customHeight="1">
      <c r="B20" s="154"/>
    </row>
    <row r="21" ht="42.0" customHeight="1">
      <c r="B21" s="154"/>
    </row>
    <row r="22" ht="42.0" customHeight="1">
      <c r="B22" s="154"/>
    </row>
    <row r="23" ht="42.0" customHeight="1">
      <c r="B23" s="154"/>
    </row>
    <row r="24" ht="42.0" customHeight="1">
      <c r="B24" s="154"/>
    </row>
    <row r="25" ht="42.0" customHeight="1">
      <c r="B25" s="154"/>
    </row>
    <row r="26" ht="42.0" customHeight="1">
      <c r="B26" s="154"/>
    </row>
    <row r="27" ht="42.0" customHeight="1">
      <c r="B27" s="154"/>
    </row>
    <row r="28" ht="42.0" customHeight="1">
      <c r="B28" s="154"/>
    </row>
    <row r="29" ht="42.0" customHeight="1">
      <c r="B29" s="154"/>
    </row>
    <row r="30" ht="42.0" customHeight="1">
      <c r="B30" s="154"/>
    </row>
    <row r="31" ht="42.0" customHeight="1">
      <c r="B31" s="154"/>
    </row>
    <row r="32" ht="42.0" customHeight="1">
      <c r="B32" s="154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">
    <mergeCell ref="B25:H25"/>
    <mergeCell ref="B26:H26"/>
    <mergeCell ref="B27:H27"/>
    <mergeCell ref="B28:H28"/>
    <mergeCell ref="B29:H29"/>
    <mergeCell ref="B30:H30"/>
    <mergeCell ref="B31:H31"/>
    <mergeCell ref="B32:H32"/>
    <mergeCell ref="B18:H18"/>
    <mergeCell ref="B19:H19"/>
    <mergeCell ref="B20:H20"/>
    <mergeCell ref="B21:H21"/>
    <mergeCell ref="B22:H22"/>
    <mergeCell ref="B23:H23"/>
    <mergeCell ref="B24:H24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5.0"/>
    <col customWidth="1" min="2" max="2" width="41.5"/>
    <col customWidth="1" min="3" max="3" width="8.0"/>
    <col customWidth="1" min="4" max="4" width="28.0"/>
    <col customWidth="1" min="5" max="5" width="10.0"/>
    <col customWidth="1" min="6" max="7" width="11.0"/>
    <col customWidth="1" min="8" max="8" width="7.0"/>
    <col customWidth="1" min="9" max="10" width="8.0"/>
    <col customWidth="1" min="11" max="11" width="7.0"/>
    <col customWidth="1" min="12" max="12" width="9.0"/>
    <col customWidth="1" min="13" max="13" width="12.0"/>
    <col customWidth="1" min="14" max="36" width="4.25"/>
  </cols>
  <sheetData>
    <row r="1" ht="17.25" customHeight="1">
      <c r="B1" s="145" t="s">
        <v>173</v>
      </c>
    </row>
    <row r="2" ht="15.0" customHeight="1">
      <c r="B2" s="144"/>
    </row>
    <row r="3" ht="18.0" customHeight="1">
      <c r="B3" s="156" t="s">
        <v>174</v>
      </c>
      <c r="D3" s="157" t="s">
        <v>175</v>
      </c>
      <c r="E3" s="158" t="s">
        <v>176</v>
      </c>
      <c r="F3" s="34"/>
      <c r="G3" s="36"/>
      <c r="H3" s="159" t="s">
        <v>177</v>
      </c>
      <c r="I3" s="34"/>
      <c r="J3" s="34"/>
      <c r="K3" s="34"/>
      <c r="L3" s="36"/>
    </row>
    <row r="4" ht="15.0" customHeight="1">
      <c r="M4" s="160" t="s">
        <v>178</v>
      </c>
      <c r="N4" s="161" t="str">
        <f t="array" ref="N4">IF(COUNTIF(Releases!$D$6:$D$10,N5)=0,"",IF(COUNTIF(Releases!$D$6:$D$10,N5)=1,INDEX(Releases!$A$6:$A$10,MATCH(N5,Releases!$D$6:$D$10,0)),INDEX(Releases!$A$6:$A$10,MATCH(N5,Releases!$D$6:$D$10,0))&amp;"-"&amp;RIGHT(INDEX(Releases!$A$6:$A$10,MATCH(N5,Releases!$D$6:$D$10,0)+COUNTIF(Releases!$D$6:$D$10,N5)-1),2)))</f>
        <v/>
      </c>
      <c r="O4" s="161" t="str">
        <f t="array" ref="O4">IF(COUNTIF(Releases!$D$6:$D$10,O5)=0,"",IF(COUNTIF(Releases!$D$6:$D$10,O5)=1,INDEX(Releases!$A$6:$A$10,MATCH(O5,Releases!$D$6:$D$10,0)),INDEX(Releases!$A$6:$A$10,MATCH(O5,Releases!$D$6:$D$10,0))&amp;"-"&amp;RIGHT(INDEX(Releases!$A$6:$A$10,MATCH(O5,Releases!$D$6:$D$10,0)+COUNTIF(Releases!$D$6:$D$10,O5)-1),2)))</f>
        <v>R00</v>
      </c>
      <c r="P4" s="161" t="str">
        <f t="array" ref="P4">IF(COUNTIF(Releases!$D$6:$D$10,P5)=0,"",IF(COUNTIF(Releases!$D$6:$D$10,P5)=1,INDEX(Releases!$A$6:$A$10,MATCH(P5,Releases!$D$6:$D$10,0)),INDEX(Releases!$A$6:$A$10,MATCH(P5,Releases!$D$6:$D$10,0))&amp;"-"&amp;RIGHT(INDEX(Releases!$A$6:$A$10,MATCH(P5,Releases!$D$6:$D$10,0)+COUNTIF(Releases!$D$6:$D$10,P5)-1),2)))</f>
        <v/>
      </c>
      <c r="Q4" s="161" t="str">
        <f t="array" ref="Q4">IF(COUNTIF(Releases!$D$6:$D$10,Q5)=0,"",IF(COUNTIF(Releases!$D$6:$D$10,Q5)=1,INDEX(Releases!$A$6:$A$10,MATCH(Q5,Releases!$D$6:$D$10,0)),INDEX(Releases!$A$6:$A$10,MATCH(Q5,Releases!$D$6:$D$10,0))&amp;"-"&amp;RIGHT(INDEX(Releases!$A$6:$A$10,MATCH(Q5,Releases!$D$6:$D$10,0)+COUNTIF(Releases!$D$6:$D$10,Q5)-1),2)))</f>
        <v/>
      </c>
      <c r="R4" s="161" t="str">
        <f t="array" ref="R4">IF(COUNTIF(Releases!$D$6:$D$10,R5)=0,"",IF(COUNTIF(Releases!$D$6:$D$10,R5)=1,INDEX(Releases!$A$6:$A$10,MATCH(R5,Releases!$D$6:$D$10,0)),INDEX(Releases!$A$6:$A$10,MATCH(R5,Releases!$D$6:$D$10,0))&amp;"-"&amp;RIGHT(INDEX(Releases!$A$6:$A$10,MATCH(R5,Releases!$D$6:$D$10,0)+COUNTIF(Releases!$D$6:$D$10,R5)-1),2)))</f>
        <v/>
      </c>
      <c r="S4" s="161" t="str">
        <f t="array" ref="S4">IF(COUNTIF(Releases!$D$6:$D$10,S5)=0,"",IF(COUNTIF(Releases!$D$6:$D$10,S5)=1,INDEX(Releases!$A$6:$A$10,MATCH(S5,Releases!$D$6:$D$10,0)),INDEX(Releases!$A$6:$A$10,MATCH(S5,Releases!$D$6:$D$10,0))&amp;"-"&amp;RIGHT(INDEX(Releases!$A$6:$A$10,MATCH(S5,Releases!$D$6:$D$10,0)+COUNTIF(Releases!$D$6:$D$10,S5)-1),2)))</f>
        <v/>
      </c>
      <c r="T4" s="161" t="str">
        <f t="array" ref="T4">IF(COUNTIF(Releases!$D$6:$D$10,T5)=0,"",IF(COUNTIF(Releases!$D$6:$D$10,T5)=1,INDEX(Releases!$A$6:$A$10,MATCH(T5,Releases!$D$6:$D$10,0)),INDEX(Releases!$A$6:$A$10,MATCH(T5,Releases!$D$6:$D$10,0))&amp;"-"&amp;RIGHT(INDEX(Releases!$A$6:$A$10,MATCH(T5,Releases!$D$6:$D$10,0)+COUNTIF(Releases!$D$6:$D$10,T5)-1),2)))</f>
        <v/>
      </c>
      <c r="U4" s="161" t="str">
        <f t="array" ref="U4">IF(COUNTIF(Releases!$D$6:$D$10,U5)=0,"",IF(COUNTIF(Releases!$D$6:$D$10,U5)=1,INDEX(Releases!$A$6:$A$10,MATCH(U5,Releases!$D$6:$D$10,0)),INDEX(Releases!$A$6:$A$10,MATCH(U5,Releases!$D$6:$D$10,0))&amp;"-"&amp;RIGHT(INDEX(Releases!$A$6:$A$10,MATCH(U5,Releases!$D$6:$D$10,0)+COUNTIF(Releases!$D$6:$D$10,U5)-1),2)))</f>
        <v/>
      </c>
      <c r="V4" s="161" t="str">
        <f t="array" ref="V4">IF(COUNTIF(Releases!$D$6:$D$10,V5)=0,"",IF(COUNTIF(Releases!$D$6:$D$10,V5)=1,INDEX(Releases!$A$6:$A$10,MATCH(V5,Releases!$D$6:$D$10,0)),INDEX(Releases!$A$6:$A$10,MATCH(V5,Releases!$D$6:$D$10,0))&amp;"-"&amp;RIGHT(INDEX(Releases!$A$6:$A$10,MATCH(V5,Releases!$D$6:$D$10,0)+COUNTIF(Releases!$D$6:$D$10,V5)-1),2)))</f>
        <v/>
      </c>
      <c r="W4" s="161" t="str">
        <f t="array" ref="W4">IF(COUNTIF(Releases!$D$6:$D$10,W5)=0,"",IF(COUNTIF(Releases!$D$6:$D$10,W5)=1,INDEX(Releases!$A$6:$A$10,MATCH(W5,Releases!$D$6:$D$10,0)),INDEX(Releases!$A$6:$A$10,MATCH(W5,Releases!$D$6:$D$10,0))&amp;"-"&amp;RIGHT(INDEX(Releases!$A$6:$A$10,MATCH(W5,Releases!$D$6:$D$10,0)+COUNTIF(Releases!$D$6:$D$10,W5)-1),2)))</f>
        <v/>
      </c>
      <c r="X4" s="161" t="str">
        <f t="array" ref="X4">IF(COUNTIF(Releases!$D$6:$D$10,X5)=0,"",IF(COUNTIF(Releases!$D$6:$D$10,X5)=1,INDEX(Releases!$A$6:$A$10,MATCH(X5,Releases!$D$6:$D$10,0)),INDEX(Releases!$A$6:$A$10,MATCH(X5,Releases!$D$6:$D$10,0))&amp;"-"&amp;RIGHT(INDEX(Releases!$A$6:$A$10,MATCH(X5,Releases!$D$6:$D$10,0)+COUNTIF(Releases!$D$6:$D$10,X5)-1),2)))</f>
        <v/>
      </c>
      <c r="Y4" s="161" t="str">
        <f t="array" ref="Y4">IF(COUNTIF(Releases!$D$6:$D$10,Y5)=0,"",IF(COUNTIF(Releases!$D$6:$D$10,Y5)=1,INDEX(Releases!$A$6:$A$10,MATCH(Y5,Releases!$D$6:$D$10,0)),INDEX(Releases!$A$6:$A$10,MATCH(Y5,Releases!$D$6:$D$10,0))&amp;"-"&amp;RIGHT(INDEX(Releases!$A$6:$A$10,MATCH(Y5,Releases!$D$6:$D$10,0)+COUNTIF(Releases!$D$6:$D$10,Y5)-1),2)))</f>
        <v/>
      </c>
      <c r="Z4" s="161" t="str">
        <f t="array" ref="Z4">IF(COUNTIF(Releases!$D$6:$D$10,Z5)=0,"",IF(COUNTIF(Releases!$D$6:$D$10,Z5)=1,INDEX(Releases!$A$6:$A$10,MATCH(Z5,Releases!$D$6:$D$10,0)),INDEX(Releases!$A$6:$A$10,MATCH(Z5,Releases!$D$6:$D$10,0))&amp;"-"&amp;RIGHT(INDEX(Releases!$A$6:$A$10,MATCH(Z5,Releases!$D$6:$D$10,0)+COUNTIF(Releases!$D$6:$D$10,Z5)-1),2)))</f>
        <v/>
      </c>
      <c r="AA4" s="161" t="str">
        <f t="array" ref="AA4">IF(COUNTIF(Releases!$D$6:$D$10,AA5)=0,"",IF(COUNTIF(Releases!$D$6:$D$10,AA5)=1,INDEX(Releases!$A$6:$A$10,MATCH(AA5,Releases!$D$6:$D$10,0)),INDEX(Releases!$A$6:$A$10,MATCH(AA5,Releases!$D$6:$D$10,0))&amp;"-"&amp;RIGHT(INDEX(Releases!$A$6:$A$10,MATCH(AA5,Releases!$D$6:$D$10,0)+COUNTIF(Releases!$D$6:$D$10,AA5)-1),2)))</f>
        <v/>
      </c>
      <c r="AB4" s="161" t="str">
        <f t="array" ref="AB4">IF(COUNTIF(Releases!$D$6:$D$10,AB5)=0,"",IF(COUNTIF(Releases!$D$6:$D$10,AB5)=1,INDEX(Releases!$A$6:$A$10,MATCH(AB5,Releases!$D$6:$D$10,0)),INDEX(Releases!$A$6:$A$10,MATCH(AB5,Releases!$D$6:$D$10,0))&amp;"-"&amp;RIGHT(INDEX(Releases!$A$6:$A$10,MATCH(AB5,Releases!$D$6:$D$10,0)+COUNTIF(Releases!$D$6:$D$10,AB5)-1),2)))</f>
        <v/>
      </c>
      <c r="AC4" s="161" t="str">
        <f t="array" ref="AC4">IF(COUNTIF(Releases!$D$6:$D$10,AC5)=0,"",IF(COUNTIF(Releases!$D$6:$D$10,AC5)=1,INDEX(Releases!$A$6:$A$10,MATCH(AC5,Releases!$D$6:$D$10,0)),INDEX(Releases!$A$6:$A$10,MATCH(AC5,Releases!$D$6:$D$10,0))&amp;"-"&amp;RIGHT(INDEX(Releases!$A$6:$A$10,MATCH(AC5,Releases!$D$6:$D$10,0)+COUNTIF(Releases!$D$6:$D$10,AC5)-1),2)))</f>
        <v/>
      </c>
      <c r="AD4" s="161" t="str">
        <f t="array" ref="AD4">IF(COUNTIF(Releases!$D$6:$D$10,AD5)=0,"",IF(COUNTIF(Releases!$D$6:$D$10,AD5)=1,INDEX(Releases!$A$6:$A$10,MATCH(AD5,Releases!$D$6:$D$10,0)),INDEX(Releases!$A$6:$A$10,MATCH(AD5,Releases!$D$6:$D$10,0))&amp;"-"&amp;RIGHT(INDEX(Releases!$A$6:$A$10,MATCH(AD5,Releases!$D$6:$D$10,0)+COUNTIF(Releases!$D$6:$D$10,AD5)-1),2)))</f>
        <v/>
      </c>
      <c r="AE4" s="161" t="str">
        <f t="array" ref="AE4">IF(COUNTIF(Releases!$D$6:$D$10,AE5)=0,"",IF(COUNTIF(Releases!$D$6:$D$10,AE5)=1,INDEX(Releases!$A$6:$A$10,MATCH(AE5,Releases!$D$6:$D$10,0)),INDEX(Releases!$A$6:$A$10,MATCH(AE5,Releases!$D$6:$D$10,0))&amp;"-"&amp;RIGHT(INDEX(Releases!$A$6:$A$10,MATCH(AE5,Releases!$D$6:$D$10,0)+COUNTIF(Releases!$D$6:$D$10,AE5)-1),2)))</f>
        <v/>
      </c>
      <c r="AF4" s="161" t="str">
        <f t="array" ref="AF4">IF(COUNTIF(Releases!$D$6:$D$10,AF5)=0,"",IF(COUNTIF(Releases!$D$6:$D$10,AF5)=1,INDEX(Releases!$A$6:$A$10,MATCH(AF5,Releases!$D$6:$D$10,0)),INDEX(Releases!$A$6:$A$10,MATCH(AF5,Releases!$D$6:$D$10,0))&amp;"-"&amp;RIGHT(INDEX(Releases!$A$6:$A$10,MATCH(AF5,Releases!$D$6:$D$10,0)+COUNTIF(Releases!$D$6:$D$10,AF5)-1),2)))</f>
        <v/>
      </c>
      <c r="AG4" s="161" t="str">
        <f t="array" ref="AG4">IF(COUNTIF(Releases!$D$6:$D$10,AG5)=0,"",IF(COUNTIF(Releases!$D$6:$D$10,AG5)=1,INDEX(Releases!$A$6:$A$10,MATCH(AG5,Releases!$D$6:$D$10,0)),INDEX(Releases!$A$6:$A$10,MATCH(AG5,Releases!$D$6:$D$10,0))&amp;"-"&amp;RIGHT(INDEX(Releases!$A$6:$A$10,MATCH(AG5,Releases!$D$6:$D$10,0)+COUNTIF(Releases!$D$6:$D$10,AG5)-1),2)))</f>
        <v/>
      </c>
      <c r="AH4" s="161" t="str">
        <f t="array" ref="AH4">IF(COUNTIF(Releases!$D$6:$D$10,AH5)=0,"",IF(COUNTIF(Releases!$D$6:$D$10,AH5)=1,INDEX(Releases!$A$6:$A$10,MATCH(AH5,Releases!$D$6:$D$10,0)),INDEX(Releases!$A$6:$A$10,MATCH(AH5,Releases!$D$6:$D$10,0))&amp;"-"&amp;RIGHT(INDEX(Releases!$A$6:$A$10,MATCH(AH5,Releases!$D$6:$D$10,0)+COUNTIF(Releases!$D$6:$D$10,AH5)-1),2)))</f>
        <v/>
      </c>
      <c r="AI4" s="161" t="str">
        <f t="array" ref="AI4">IF(COUNTIF(Releases!$D$6:$D$10,AI5)=0,"",IF(COUNTIF(Releases!$D$6:$D$10,AI5)=1,INDEX(Releases!$A$6:$A$10,MATCH(AI5,Releases!$D$6:$D$10,0)),INDEX(Releases!$A$6:$A$10,MATCH(AI5,Releases!$D$6:$D$10,0))&amp;"-"&amp;RIGHT(INDEX(Releases!$A$6:$A$10,MATCH(AI5,Releases!$D$6:$D$10,0)+COUNTIF(Releases!$D$6:$D$10,AI5)-1),2)))</f>
        <v/>
      </c>
      <c r="AJ4" s="161" t="str">
        <f t="array" ref="AJ4">IF(COUNTIF(Releases!$D$6:$D$10,AJ5)=0,"",IF(COUNTIF(Releases!$D$6:$D$10,AJ5)=1,INDEX(Releases!$A$6:$A$10,MATCH(AJ5,Releases!$D$6:$D$10,0)),INDEX(Releases!$A$6:$A$10,MATCH(AJ5,Releases!$D$6:$D$10,0))&amp;"-"&amp;RIGHT(INDEX(Releases!$A$6:$A$10,MATCH(AJ5,Releases!$D$6:$D$10,0)+COUNTIF(Releases!$D$6:$D$10,AJ5)-1),2)))</f>
        <v>R01-04</v>
      </c>
    </row>
    <row r="5" ht="37.5" customHeight="1">
      <c r="A5" s="162" t="s">
        <v>19</v>
      </c>
      <c r="B5" s="162" t="s">
        <v>204</v>
      </c>
      <c r="C5" s="162" t="s">
        <v>181</v>
      </c>
      <c r="D5" s="162" t="s">
        <v>205</v>
      </c>
      <c r="E5" s="162" t="s">
        <v>206</v>
      </c>
      <c r="F5" s="162" t="s">
        <v>207</v>
      </c>
      <c r="G5" s="162" t="s">
        <v>208</v>
      </c>
      <c r="H5" s="162" t="s">
        <v>209</v>
      </c>
      <c r="I5" s="162" t="s">
        <v>210</v>
      </c>
      <c r="J5" s="162" t="s">
        <v>25</v>
      </c>
      <c r="K5" s="162" t="s">
        <v>211</v>
      </c>
      <c r="L5" s="162" t="s">
        <v>212</v>
      </c>
      <c r="M5" s="170" t="s">
        <v>213</v>
      </c>
      <c r="N5" s="174">
        <f>WORKDAY(Premissas!$C$7-1,1,Premissas!$B$10:$B$14)</f>
        <v>46314</v>
      </c>
      <c r="O5" s="174">
        <f>WORKDAY(N5,1,Premissas!$B$10:$B$14)</f>
        <v>46315</v>
      </c>
      <c r="P5" s="174">
        <f>WORKDAY(O5,1,Premissas!$B$10:$B$14)</f>
        <v>46316</v>
      </c>
      <c r="Q5" s="174">
        <f>WORKDAY(P5,1,Premissas!$B$10:$B$14)</f>
        <v>46317</v>
      </c>
      <c r="R5" s="174">
        <f>WORKDAY(Q5,1,Premissas!$B$10:$B$14)</f>
        <v>46318</v>
      </c>
      <c r="S5" s="174">
        <f>WORKDAY(R5,1,Premissas!$B$10:$B$14)</f>
        <v>46321</v>
      </c>
      <c r="T5" s="174">
        <f>WORKDAY(S5,1,Premissas!$B$10:$B$14)</f>
        <v>46322</v>
      </c>
      <c r="U5" s="174">
        <f>WORKDAY(T5,1,Premissas!$B$10:$B$14)</f>
        <v>46323</v>
      </c>
      <c r="V5" s="174">
        <f>WORKDAY(U5,1,Premissas!$B$10:$B$14)</f>
        <v>46324</v>
      </c>
      <c r="W5" s="174">
        <f>WORKDAY(V5,1,Premissas!$B$10:$B$14)</f>
        <v>46325</v>
      </c>
      <c r="X5" s="174">
        <f>WORKDAY(W5,1,Premissas!$B$10:$B$14)</f>
        <v>46329</v>
      </c>
      <c r="Y5" s="174">
        <f>WORKDAY(X5,1,Premissas!$B$10:$B$14)</f>
        <v>46330</v>
      </c>
      <c r="Z5" s="174">
        <f>WORKDAY(Y5,1,Premissas!$B$10:$B$14)</f>
        <v>46331</v>
      </c>
      <c r="AA5" s="174">
        <f>WORKDAY(Z5,1,Premissas!$B$10:$B$14)</f>
        <v>46332</v>
      </c>
      <c r="AB5" s="174">
        <f>WORKDAY(AA5,1,Premissas!$B$10:$B$14)</f>
        <v>46335</v>
      </c>
      <c r="AC5" s="174">
        <f>WORKDAY(AB5,1,Premissas!$B$10:$B$14)</f>
        <v>46336</v>
      </c>
      <c r="AD5" s="174">
        <f>WORKDAY(AC5,1,Premissas!$B$10:$B$14)</f>
        <v>46337</v>
      </c>
      <c r="AE5" s="174">
        <f>WORKDAY(AD5,1,Premissas!$B$10:$B$14)</f>
        <v>46338</v>
      </c>
      <c r="AF5" s="174">
        <f>WORKDAY(AE5,1,Premissas!$B$10:$B$14)</f>
        <v>46339</v>
      </c>
      <c r="AG5" s="174">
        <f>WORKDAY(AF5,1,Premissas!$B$10:$B$14)</f>
        <v>46342</v>
      </c>
      <c r="AH5" s="174">
        <f>WORKDAY(AG5,1,Premissas!$B$10:$B$14)</f>
        <v>46343</v>
      </c>
      <c r="AI5" s="174">
        <f>WORKDAY(AH5,1,Premissas!$B$10:$B$14)</f>
        <v>46344</v>
      </c>
      <c r="AJ5" s="174">
        <f>WORKDAY(AI5,1,Premissas!$B$10:$B$14)</f>
        <v>46345</v>
      </c>
    </row>
    <row r="6" ht="15.0" customHeight="1">
      <c r="A6" s="179" t="s">
        <v>218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1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</row>
    <row r="7" ht="15.0" customHeight="1">
      <c r="A7" s="178">
        <v>1.0</v>
      </c>
      <c r="B7" s="182" t="s">
        <v>219</v>
      </c>
      <c r="C7" s="178" t="s">
        <v>194</v>
      </c>
      <c r="D7" s="178" t="s">
        <v>37</v>
      </c>
      <c r="E7" s="178" t="s">
        <v>220</v>
      </c>
      <c r="F7" s="183">
        <v>46313.0</v>
      </c>
      <c r="G7" s="183">
        <v>46314.0</v>
      </c>
      <c r="H7" s="178">
        <f>NETWORKDAYS(F7,G7,Premissas!$B$10:$B$14)</f>
        <v>1</v>
      </c>
      <c r="I7" s="184">
        <v>0.6</v>
      </c>
      <c r="J7" s="176">
        <f t="array" ref="J7">INDEX(Geral!$J$13:$J$20,MATCH(D7,Geral!$G$13:$G$20,0))*I7</f>
        <v>9.960474308</v>
      </c>
      <c r="K7" s="178"/>
      <c r="L7" s="178"/>
      <c r="M7" s="185" t="s">
        <v>221</v>
      </c>
      <c r="N7" s="186"/>
    </row>
    <row r="8" ht="15.0" customHeight="1">
      <c r="A8" s="178">
        <v>2.0</v>
      </c>
      <c r="B8" s="182" t="s">
        <v>222</v>
      </c>
      <c r="C8" s="178" t="s">
        <v>194</v>
      </c>
      <c r="D8" s="178" t="s">
        <v>37</v>
      </c>
      <c r="E8" s="178" t="s">
        <v>220</v>
      </c>
      <c r="F8" s="183">
        <v>46313.0</v>
      </c>
      <c r="G8" s="183">
        <v>46314.0</v>
      </c>
      <c r="H8" s="178">
        <f>NETWORKDAYS(F8,G8,Premissas!$B$10:$B$14)</f>
        <v>1</v>
      </c>
      <c r="I8" s="184">
        <v>0.4</v>
      </c>
      <c r="J8" s="176">
        <f t="array" ref="J8">INDEX(Geral!$J$13:$J$20,MATCH(D8,Geral!$G$13:$G$20,0))*I8</f>
        <v>6.640316206</v>
      </c>
      <c r="K8" s="178"/>
      <c r="L8" s="178"/>
      <c r="M8" s="185" t="s">
        <v>221</v>
      </c>
      <c r="N8" s="186"/>
    </row>
    <row r="9" ht="15.0" customHeight="1">
      <c r="A9" s="178">
        <v>3.0</v>
      </c>
      <c r="B9" s="182" t="s">
        <v>223</v>
      </c>
      <c r="C9" s="178" t="s">
        <v>194</v>
      </c>
      <c r="D9" s="178" t="s">
        <v>58</v>
      </c>
      <c r="E9" s="178" t="s">
        <v>220</v>
      </c>
      <c r="F9" s="183">
        <v>46313.0</v>
      </c>
      <c r="G9" s="183">
        <v>46315.0</v>
      </c>
      <c r="H9" s="178">
        <f>NETWORKDAYS(F9,G9,Premissas!$B$10:$B$14)</f>
        <v>2</v>
      </c>
      <c r="I9" s="184">
        <v>0.45</v>
      </c>
      <c r="J9" s="176">
        <f t="array" ref="J9">INDEX(Geral!$J$13:$J$20,MATCH(D9,Geral!$G$13:$G$20,0))*I9</f>
        <v>26.32411067</v>
      </c>
      <c r="K9" s="178"/>
      <c r="L9" s="178"/>
      <c r="M9" s="185" t="s">
        <v>221</v>
      </c>
      <c r="N9" s="186"/>
      <c r="O9" s="186"/>
    </row>
    <row r="10" ht="15.0" customHeight="1">
      <c r="A10" s="178">
        <v>4.0</v>
      </c>
      <c r="B10" s="182" t="s">
        <v>224</v>
      </c>
      <c r="C10" s="178" t="s">
        <v>194</v>
      </c>
      <c r="D10" s="178" t="s">
        <v>58</v>
      </c>
      <c r="E10" s="178" t="s">
        <v>220</v>
      </c>
      <c r="F10" s="183">
        <v>46315.0</v>
      </c>
      <c r="G10" s="183">
        <v>46315.0</v>
      </c>
      <c r="H10" s="178">
        <f>NETWORKDAYS(F10,G10,Premissas!$B$10:$B$14)</f>
        <v>1</v>
      </c>
      <c r="I10" s="184">
        <v>0.15</v>
      </c>
      <c r="J10" s="176">
        <f t="array" ref="J10">INDEX(Geral!$J$13:$J$20,MATCH(D10,Geral!$G$13:$G$20,0))*I10</f>
        <v>8.774703557</v>
      </c>
      <c r="K10" s="178"/>
      <c r="L10" s="178"/>
      <c r="M10" s="185" t="s">
        <v>221</v>
      </c>
      <c r="O10" s="186"/>
    </row>
    <row r="11" ht="15.0" customHeight="1">
      <c r="A11" s="178">
        <v>5.0</v>
      </c>
      <c r="B11" s="182" t="s">
        <v>225</v>
      </c>
      <c r="C11" s="178" t="s">
        <v>194</v>
      </c>
      <c r="D11" s="178" t="s">
        <v>87</v>
      </c>
      <c r="E11" s="178" t="s">
        <v>220</v>
      </c>
      <c r="F11" s="183">
        <v>46313.0</v>
      </c>
      <c r="G11" s="183">
        <v>46314.0</v>
      </c>
      <c r="H11" s="178">
        <f>NETWORKDAYS(F11,G11,Premissas!$B$10:$B$14)</f>
        <v>1</v>
      </c>
      <c r="I11" s="184">
        <v>0.15</v>
      </c>
      <c r="J11" s="176">
        <f t="array" ref="J11">INDEX(Geral!$J$13:$J$20,MATCH(D11,Geral!$G$13:$G$20,0))*I11</f>
        <v>3.498023715</v>
      </c>
      <c r="K11" s="178"/>
      <c r="L11" s="178"/>
      <c r="M11" s="185" t="s">
        <v>221</v>
      </c>
      <c r="N11" s="186"/>
    </row>
    <row r="12" ht="15.0" customHeight="1">
      <c r="A12" s="178">
        <v>6.0</v>
      </c>
      <c r="B12" s="182" t="s">
        <v>226</v>
      </c>
      <c r="C12" s="178" t="s">
        <v>194</v>
      </c>
      <c r="D12" s="178" t="s">
        <v>87</v>
      </c>
      <c r="E12" s="178" t="s">
        <v>220</v>
      </c>
      <c r="F12" s="183">
        <v>46314.0</v>
      </c>
      <c r="G12" s="183">
        <v>46315.0</v>
      </c>
      <c r="H12" s="178">
        <f>NETWORKDAYS(F12,G12,Premissas!$B$10:$B$14)</f>
        <v>2</v>
      </c>
      <c r="I12" s="184">
        <v>0.2</v>
      </c>
      <c r="J12" s="176">
        <f t="array" ref="J12">INDEX(Geral!$J$13:$J$20,MATCH(D12,Geral!$G$13:$G$20,0))*I12</f>
        <v>4.664031621</v>
      </c>
      <c r="K12" s="178"/>
      <c r="L12" s="178"/>
      <c r="M12" s="185" t="s">
        <v>221</v>
      </c>
      <c r="N12" s="186"/>
      <c r="O12" s="186"/>
    </row>
    <row r="13" ht="15.0" customHeight="1">
      <c r="A13" s="178">
        <v>7.0</v>
      </c>
      <c r="B13" s="182" t="s">
        <v>227</v>
      </c>
      <c r="C13" s="178" t="s">
        <v>194</v>
      </c>
      <c r="D13" s="178" t="s">
        <v>87</v>
      </c>
      <c r="E13" s="178" t="s">
        <v>220</v>
      </c>
      <c r="F13" s="183">
        <v>46314.0</v>
      </c>
      <c r="G13" s="183">
        <v>46315.0</v>
      </c>
      <c r="H13" s="178">
        <f>NETWORKDAYS(F13,G13,Premissas!$B$10:$B$14)</f>
        <v>2</v>
      </c>
      <c r="I13" s="184">
        <v>0.35</v>
      </c>
      <c r="J13" s="176">
        <f t="array" ref="J13">INDEX(Geral!$J$13:$J$20,MATCH(D13,Geral!$G$13:$G$20,0))*I13</f>
        <v>8.162055336</v>
      </c>
      <c r="K13" s="178"/>
      <c r="L13" s="178"/>
      <c r="M13" s="185" t="s">
        <v>221</v>
      </c>
      <c r="N13" s="186"/>
      <c r="O13" s="186"/>
    </row>
    <row r="14" ht="15.0" customHeight="1">
      <c r="A14" s="178">
        <v>8.0</v>
      </c>
      <c r="B14" s="182" t="s">
        <v>228</v>
      </c>
      <c r="C14" s="178" t="s">
        <v>194</v>
      </c>
      <c r="D14" s="178" t="s">
        <v>102</v>
      </c>
      <c r="E14" s="178" t="s">
        <v>229</v>
      </c>
      <c r="F14" s="183">
        <v>46315.0</v>
      </c>
      <c r="G14" s="183">
        <v>46315.0</v>
      </c>
      <c r="H14" s="178">
        <f>NETWORKDAYS(F14,G14,Premissas!$B$10:$B$14)</f>
        <v>1</v>
      </c>
      <c r="I14" s="184">
        <v>0.1</v>
      </c>
      <c r="J14" s="176">
        <f t="array" ref="J14">INDEX(Geral!$J$13:$J$20,MATCH(D14,Geral!$G$13:$G$20,0))*I14</f>
        <v>4.822134387</v>
      </c>
      <c r="K14" s="178"/>
      <c r="L14" s="178"/>
      <c r="M14" s="185" t="s">
        <v>221</v>
      </c>
      <c r="O14" s="186"/>
    </row>
    <row r="15" ht="15.0" customHeight="1">
      <c r="A15" s="179" t="s">
        <v>230</v>
      </c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1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0"/>
      <c r="AI15" s="180"/>
      <c r="AJ15" s="180"/>
    </row>
    <row r="16" ht="20.25" customHeight="1">
      <c r="A16" s="178">
        <v>9.0</v>
      </c>
      <c r="B16" s="182" t="s">
        <v>231</v>
      </c>
      <c r="C16" s="178" t="s">
        <v>196</v>
      </c>
      <c r="D16" s="178" t="s">
        <v>87</v>
      </c>
      <c r="E16" s="178" t="s">
        <v>229</v>
      </c>
      <c r="F16" s="183">
        <v>46316.0</v>
      </c>
      <c r="G16" s="183">
        <v>46317.0</v>
      </c>
      <c r="H16" s="178">
        <f>NETWORKDAYS(F16,G16,Premissas!$B$10:$B$14)</f>
        <v>2</v>
      </c>
      <c r="I16" s="184">
        <v>0.3</v>
      </c>
      <c r="J16" s="176">
        <f t="array" ref="J16">INDEX(Geral!$J$13:$J$20,MATCH(D16,Geral!$G$13:$G$20,0))*I16</f>
        <v>6.996047431</v>
      </c>
      <c r="K16" s="178"/>
      <c r="L16" s="178"/>
      <c r="M16" s="185" t="s">
        <v>232</v>
      </c>
      <c r="P16" s="186"/>
      <c r="Q16" s="186"/>
    </row>
    <row r="17" ht="15.0" customHeight="1">
      <c r="A17" s="178">
        <v>10.0</v>
      </c>
      <c r="B17" s="182" t="s">
        <v>233</v>
      </c>
      <c r="C17" s="178" t="s">
        <v>196</v>
      </c>
      <c r="D17" s="178" t="s">
        <v>73</v>
      </c>
      <c r="E17" s="178" t="s">
        <v>234</v>
      </c>
      <c r="F17" s="183">
        <v>46316.0</v>
      </c>
      <c r="G17" s="183">
        <v>46317.0</v>
      </c>
      <c r="H17" s="178">
        <f>NETWORKDAYS(F17,G17,Premissas!$B$10:$B$14)</f>
        <v>2</v>
      </c>
      <c r="I17" s="184">
        <v>0.4</v>
      </c>
      <c r="J17" s="176">
        <f t="array" ref="J17">INDEX(Geral!$J$13:$J$20,MATCH(D17,Geral!$G$13:$G$20,0))*I17</f>
        <v>5.849802372</v>
      </c>
      <c r="K17" s="178"/>
      <c r="L17" s="178"/>
      <c r="M17" s="185" t="s">
        <v>232</v>
      </c>
      <c r="P17" s="186"/>
      <c r="Q17" s="186"/>
    </row>
    <row r="18" ht="15.0" customHeight="1">
      <c r="A18" s="178">
        <v>11.0</v>
      </c>
      <c r="B18" s="182" t="s">
        <v>235</v>
      </c>
      <c r="C18" s="178" t="s">
        <v>196</v>
      </c>
      <c r="D18" s="178" t="s">
        <v>73</v>
      </c>
      <c r="E18" s="178" t="s">
        <v>234</v>
      </c>
      <c r="F18" s="183">
        <v>46317.0</v>
      </c>
      <c r="G18" s="183">
        <v>46318.0</v>
      </c>
      <c r="H18" s="178">
        <f>NETWORKDAYS(F18,G18,Premissas!$B$10:$B$14)</f>
        <v>2</v>
      </c>
      <c r="I18" s="184">
        <v>0.2</v>
      </c>
      <c r="J18" s="176">
        <f t="array" ref="J18">INDEX(Geral!$J$13:$J$20,MATCH(D18,Geral!$G$13:$G$20,0))*I18</f>
        <v>2.924901186</v>
      </c>
      <c r="K18" s="178"/>
      <c r="L18" s="178"/>
      <c r="M18" s="185" t="s">
        <v>232</v>
      </c>
      <c r="Q18" s="186"/>
      <c r="R18" s="186"/>
    </row>
    <row r="19" ht="15.0" customHeight="1">
      <c r="A19" s="178">
        <v>12.0</v>
      </c>
      <c r="B19" s="182" t="s">
        <v>236</v>
      </c>
      <c r="C19" s="178" t="s">
        <v>196</v>
      </c>
      <c r="D19" s="178" t="s">
        <v>58</v>
      </c>
      <c r="E19" s="178" t="s">
        <v>220</v>
      </c>
      <c r="F19" s="183">
        <v>46317.0</v>
      </c>
      <c r="G19" s="183">
        <v>46318.0</v>
      </c>
      <c r="H19" s="178">
        <f>NETWORKDAYS(F19,G19,Premissas!$B$10:$B$14)</f>
        <v>2</v>
      </c>
      <c r="I19" s="184">
        <v>0.1</v>
      </c>
      <c r="J19" s="176">
        <f t="array" ref="J19">INDEX(Geral!$J$13:$J$20,MATCH(D19,Geral!$G$13:$G$20,0))*I19</f>
        <v>5.849802372</v>
      </c>
      <c r="K19" s="178"/>
      <c r="L19" s="178"/>
      <c r="M19" s="185" t="s">
        <v>232</v>
      </c>
      <c r="Q19" s="186"/>
      <c r="R19" s="186"/>
    </row>
    <row r="20" ht="15.0" customHeight="1">
      <c r="A20" s="178">
        <v>13.0</v>
      </c>
      <c r="B20" s="182" t="s">
        <v>237</v>
      </c>
      <c r="C20" s="178" t="s">
        <v>196</v>
      </c>
      <c r="D20" s="178" t="s">
        <v>97</v>
      </c>
      <c r="E20" s="178" t="s">
        <v>238</v>
      </c>
      <c r="F20" s="183">
        <v>46322.0</v>
      </c>
      <c r="G20" s="183">
        <v>46323.0</v>
      </c>
      <c r="H20" s="178">
        <f>NETWORKDAYS(F20,G20,Premissas!$B$10:$B$14)</f>
        <v>2</v>
      </c>
      <c r="I20" s="187">
        <f>Premissas!$C$5*K20/UC!$D$10</f>
        <v>0.04444444444</v>
      </c>
      <c r="J20" s="176">
        <f t="array" ref="J20">INDEX(Geral!$J$13:$J$20,MATCH(D20,Geral!$G$13:$G$20,0))*I20</f>
        <v>8.783487044</v>
      </c>
      <c r="K20" s="178">
        <f t="array" ref="K20">INDEX(UC!$C$7:$C$9,MATCH(UC!$D$13,UC!$B$7:$B$9,0))</f>
        <v>5</v>
      </c>
      <c r="L20" s="178"/>
      <c r="M20" s="185" t="s">
        <v>232</v>
      </c>
      <c r="T20" s="186"/>
      <c r="U20" s="186"/>
    </row>
    <row r="21" ht="15.0" customHeight="1">
      <c r="A21" s="178">
        <v>14.0</v>
      </c>
      <c r="B21" s="188" t="s">
        <v>239</v>
      </c>
      <c r="C21" s="178" t="s">
        <v>196</v>
      </c>
      <c r="D21" s="178" t="s">
        <v>97</v>
      </c>
      <c r="E21" s="178" t="s">
        <v>238</v>
      </c>
      <c r="F21" s="183">
        <v>46322.0</v>
      </c>
      <c r="G21" s="183">
        <v>46323.0</v>
      </c>
      <c r="H21" s="178">
        <f>NETWORKDAYS(F21,G21,Premissas!$B$10:$B$14)</f>
        <v>2</v>
      </c>
      <c r="I21" s="187">
        <f>Premissas!$C$5*K21/UC!$D$10</f>
        <v>0.08888888889</v>
      </c>
      <c r="J21" s="176">
        <f t="array" ref="J21">INDEX(Geral!$J$13:$J$20,MATCH(D21,Geral!$G$13:$G$20,0))*I21</f>
        <v>17.56697409</v>
      </c>
      <c r="K21" s="178">
        <f t="array" ref="K21">INDEX(UC!$C$7:$C$9,MATCH(UC!$D$14,UC!$B$7:$B$9,0))</f>
        <v>10</v>
      </c>
      <c r="L21" s="178"/>
      <c r="M21" s="185" t="s">
        <v>232</v>
      </c>
      <c r="T21" s="186"/>
      <c r="U21" s="186"/>
    </row>
    <row r="22" ht="15.0" customHeight="1">
      <c r="A22" s="178">
        <v>15.0</v>
      </c>
      <c r="B22" s="182" t="s">
        <v>240</v>
      </c>
      <c r="C22" s="178" t="s">
        <v>196</v>
      </c>
      <c r="D22" s="178" t="s">
        <v>97</v>
      </c>
      <c r="E22" s="178" t="s">
        <v>241</v>
      </c>
      <c r="F22" s="183">
        <v>46324.0</v>
      </c>
      <c r="G22" s="183">
        <v>46324.0</v>
      </c>
      <c r="H22" s="178">
        <f>NETWORKDAYS(F22,G22,Premissas!$B$10:$B$14)</f>
        <v>1</v>
      </c>
      <c r="I22" s="187">
        <f>Premissas!$C$6*L22/UC!$D$10</f>
        <v>0.03333333333</v>
      </c>
      <c r="J22" s="176">
        <f t="array" ref="J22">INDEX(Geral!$J$13:$J$20,MATCH(D22,Geral!$G$13:$G$20,0))*I22</f>
        <v>6.587615283</v>
      </c>
      <c r="K22" s="178"/>
      <c r="L22" s="178">
        <f>SUMIFS($K$6:$K$80,$C$6:$C$80,C22)</f>
        <v>15</v>
      </c>
      <c r="M22" s="185" t="s">
        <v>232</v>
      </c>
      <c r="V22" s="186"/>
    </row>
    <row r="23" ht="15.0" customHeight="1">
      <c r="A23" s="178">
        <v>16.0</v>
      </c>
      <c r="B23" s="182" t="s">
        <v>242</v>
      </c>
      <c r="C23" s="178" t="s">
        <v>196</v>
      </c>
      <c r="D23" s="178" t="s">
        <v>102</v>
      </c>
      <c r="E23" s="178" t="s">
        <v>229</v>
      </c>
      <c r="F23" s="183">
        <v>46345.0</v>
      </c>
      <c r="G23" s="183">
        <v>46345.0</v>
      </c>
      <c r="H23" s="178">
        <f>NETWORKDAYS(F23,G23,Premissas!$B$10:$B$14)</f>
        <v>1</v>
      </c>
      <c r="I23" s="184">
        <v>0.225</v>
      </c>
      <c r="J23" s="176">
        <f t="array" ref="J23">INDEX(Geral!$J$13:$J$20,MATCH(D23,Geral!$G$13:$G$20,0))*I23</f>
        <v>10.84980237</v>
      </c>
      <c r="K23" s="178"/>
      <c r="L23" s="178"/>
      <c r="M23" s="185" t="s">
        <v>232</v>
      </c>
      <c r="AJ23" s="186"/>
    </row>
    <row r="24" ht="15.0" customHeight="1">
      <c r="A24" s="178">
        <v>17.0</v>
      </c>
      <c r="B24" s="182" t="s">
        <v>243</v>
      </c>
      <c r="C24" s="178" t="s">
        <v>196</v>
      </c>
      <c r="D24" s="178" t="s">
        <v>107</v>
      </c>
      <c r="E24" s="178" t="s">
        <v>229</v>
      </c>
      <c r="F24" s="183">
        <v>46345.0</v>
      </c>
      <c r="G24" s="183">
        <v>46345.0</v>
      </c>
      <c r="H24" s="178">
        <f>NETWORKDAYS(F24,G24,Premissas!$B$10:$B$14)</f>
        <v>1</v>
      </c>
      <c r="I24" s="184">
        <v>0.25</v>
      </c>
      <c r="J24" s="176">
        <f t="array" ref="J24">INDEX(Geral!$J$13:$J$20,MATCH(D24,Geral!$G$13:$G$20,0))*I24</f>
        <v>6.324110672</v>
      </c>
      <c r="K24" s="178"/>
      <c r="L24" s="178"/>
      <c r="M24" s="185" t="s">
        <v>232</v>
      </c>
      <c r="AJ24" s="186"/>
    </row>
    <row r="25" ht="15.0" customHeight="1">
      <c r="A25" s="179" t="s">
        <v>244</v>
      </c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1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  <c r="AG25" s="180"/>
      <c r="AH25" s="180"/>
      <c r="AI25" s="180"/>
      <c r="AJ25" s="180"/>
    </row>
    <row r="26" ht="15.0" customHeight="1">
      <c r="A26" s="178">
        <v>18.0</v>
      </c>
      <c r="B26" s="182" t="s">
        <v>245</v>
      </c>
      <c r="C26" s="178" t="s">
        <v>198</v>
      </c>
      <c r="D26" s="178" t="s">
        <v>73</v>
      </c>
      <c r="E26" s="178" t="s">
        <v>234</v>
      </c>
      <c r="F26" s="183">
        <v>46325.0</v>
      </c>
      <c r="G26" s="183">
        <v>46329.0</v>
      </c>
      <c r="H26" s="178">
        <f>NETWORKDAYS(F26,G26,Premissas!$B$10:$B$14)</f>
        <v>2</v>
      </c>
      <c r="I26" s="184">
        <v>0.15</v>
      </c>
      <c r="J26" s="176">
        <f t="array" ref="J26">INDEX(Geral!$J$13:$J$20,MATCH(D26,Geral!$G$13:$G$20,0))*I26</f>
        <v>2.193675889</v>
      </c>
      <c r="K26" s="178"/>
      <c r="L26" s="178"/>
      <c r="M26" s="185" t="s">
        <v>232</v>
      </c>
      <c r="W26" s="186"/>
      <c r="X26" s="186"/>
    </row>
    <row r="27" ht="15.0" customHeight="1">
      <c r="A27" s="178">
        <v>19.0</v>
      </c>
      <c r="B27" s="182" t="s">
        <v>246</v>
      </c>
      <c r="C27" s="178" t="s">
        <v>198</v>
      </c>
      <c r="D27" s="178" t="s">
        <v>58</v>
      </c>
      <c r="E27" s="178" t="s">
        <v>220</v>
      </c>
      <c r="F27" s="183">
        <v>46325.0</v>
      </c>
      <c r="G27" s="183">
        <v>46325.0</v>
      </c>
      <c r="H27" s="178">
        <f>NETWORKDAYS(F27,G27,Premissas!$B$10:$B$14)</f>
        <v>1</v>
      </c>
      <c r="I27" s="184">
        <v>0.1</v>
      </c>
      <c r="J27" s="176">
        <f t="array" ref="J27">INDEX(Geral!$J$13:$J$20,MATCH(D27,Geral!$G$13:$G$20,0))*I27</f>
        <v>5.849802372</v>
      </c>
      <c r="K27" s="178"/>
      <c r="L27" s="178"/>
      <c r="M27" s="185" t="s">
        <v>232</v>
      </c>
      <c r="W27" s="186"/>
    </row>
    <row r="28" ht="15.0" customHeight="1">
      <c r="A28" s="178">
        <v>20.0</v>
      </c>
      <c r="B28" s="182" t="s">
        <v>247</v>
      </c>
      <c r="C28" s="178" t="s">
        <v>198</v>
      </c>
      <c r="D28" s="178" t="s">
        <v>97</v>
      </c>
      <c r="E28" s="178" t="s">
        <v>238</v>
      </c>
      <c r="F28" s="183">
        <v>46325.0</v>
      </c>
      <c r="G28" s="183">
        <v>46330.0</v>
      </c>
      <c r="H28" s="178">
        <f>NETWORKDAYS(F28,G28,Premissas!$B$10:$B$14)</f>
        <v>3</v>
      </c>
      <c r="I28" s="187">
        <f>Premissas!$C$5*K28/UC!$D$10</f>
        <v>0.1333333333</v>
      </c>
      <c r="J28" s="176">
        <f t="array" ref="J28">INDEX(Geral!$J$13:$J$20,MATCH(D28,Geral!$G$13:$G$20,0))*I28</f>
        <v>26.35046113</v>
      </c>
      <c r="K28" s="178">
        <f t="array" ref="K28">INDEX(UC!$C$7:$C$9,MATCH(UC!$D$15,UC!$B$7:$B$9,0))</f>
        <v>15</v>
      </c>
      <c r="L28" s="178"/>
      <c r="M28" s="185" t="s">
        <v>232</v>
      </c>
      <c r="W28" s="186"/>
      <c r="X28" s="186"/>
      <c r="Y28" s="186"/>
    </row>
    <row r="29" ht="15.0" customHeight="1">
      <c r="A29" s="178">
        <v>21.0</v>
      </c>
      <c r="B29" s="182" t="s">
        <v>248</v>
      </c>
      <c r="C29" s="178" t="s">
        <v>198</v>
      </c>
      <c r="D29" s="178" t="s">
        <v>97</v>
      </c>
      <c r="E29" s="178" t="s">
        <v>238</v>
      </c>
      <c r="F29" s="183">
        <v>46329.0</v>
      </c>
      <c r="G29" s="183">
        <v>46330.0</v>
      </c>
      <c r="H29" s="178">
        <f>NETWORKDAYS(F29,G29,Premissas!$B$10:$B$14)</f>
        <v>2</v>
      </c>
      <c r="I29" s="187">
        <f>Premissas!$C$5*K29/UC!$D$10</f>
        <v>0.08888888889</v>
      </c>
      <c r="J29" s="176">
        <f t="array" ref="J29">INDEX(Geral!$J$13:$J$20,MATCH(D29,Geral!$G$13:$G$20,0))*I29</f>
        <v>17.56697409</v>
      </c>
      <c r="K29" s="178">
        <f t="array" ref="K29">INDEX(UC!$C$7:$C$9,MATCH(UC!$D$16,UC!$B$7:$B$9,0))</f>
        <v>10</v>
      </c>
      <c r="L29" s="178"/>
      <c r="M29" s="185" t="s">
        <v>232</v>
      </c>
      <c r="X29" s="186"/>
      <c r="Y29" s="186"/>
    </row>
    <row r="30" ht="15.0" customHeight="1">
      <c r="A30" s="178">
        <v>22.0</v>
      </c>
      <c r="B30" s="182" t="s">
        <v>249</v>
      </c>
      <c r="C30" s="178" t="s">
        <v>198</v>
      </c>
      <c r="D30" s="178" t="s">
        <v>97</v>
      </c>
      <c r="E30" s="178" t="s">
        <v>241</v>
      </c>
      <c r="F30" s="183">
        <v>46331.0</v>
      </c>
      <c r="G30" s="183">
        <v>46331.0</v>
      </c>
      <c r="H30" s="178">
        <f>NETWORKDAYS(F30,G30,Premissas!$B$10:$B$14)</f>
        <v>1</v>
      </c>
      <c r="I30" s="187">
        <f>Premissas!$C$6*L30/UC!$D$10</f>
        <v>0.05555555556</v>
      </c>
      <c r="J30" s="176">
        <f t="array" ref="J30">INDEX(Geral!$J$13:$J$20,MATCH(D30,Geral!$G$13:$G$20,0))*I30</f>
        <v>10.97935881</v>
      </c>
      <c r="K30" s="178"/>
      <c r="L30" s="178">
        <f>SUMIFS($K$6:$K$80,$C$6:$C$80,C30)</f>
        <v>25</v>
      </c>
      <c r="M30" s="185" t="s">
        <v>232</v>
      </c>
      <c r="Z30" s="186"/>
    </row>
    <row r="31" ht="15.0" customHeight="1">
      <c r="A31" s="178">
        <v>23.0</v>
      </c>
      <c r="B31" s="182" t="s">
        <v>250</v>
      </c>
      <c r="C31" s="178" t="s">
        <v>198</v>
      </c>
      <c r="D31" s="178" t="s">
        <v>102</v>
      </c>
      <c r="E31" s="178" t="s">
        <v>229</v>
      </c>
      <c r="F31" s="183">
        <v>46345.0</v>
      </c>
      <c r="G31" s="183">
        <v>46345.0</v>
      </c>
      <c r="H31" s="178">
        <f>NETWORKDAYS(F31,G31,Premissas!$B$10:$B$14)</f>
        <v>1</v>
      </c>
      <c r="I31" s="184">
        <v>0.225</v>
      </c>
      <c r="J31" s="176">
        <f t="array" ref="J31">INDEX(Geral!$J$13:$J$20,MATCH(D31,Geral!$G$13:$G$20,0))*I31</f>
        <v>10.84980237</v>
      </c>
      <c r="K31" s="178"/>
      <c r="L31" s="178"/>
      <c r="M31" s="185" t="s">
        <v>232</v>
      </c>
      <c r="AJ31" s="186"/>
    </row>
    <row r="32" ht="15.0" customHeight="1">
      <c r="A32" s="178">
        <v>24.0</v>
      </c>
      <c r="B32" s="182" t="s">
        <v>251</v>
      </c>
      <c r="C32" s="178" t="s">
        <v>198</v>
      </c>
      <c r="D32" s="178" t="s">
        <v>107</v>
      </c>
      <c r="E32" s="178" t="s">
        <v>229</v>
      </c>
      <c r="F32" s="183">
        <v>46345.0</v>
      </c>
      <c r="G32" s="183">
        <v>46345.0</v>
      </c>
      <c r="H32" s="178">
        <f>NETWORKDAYS(F32,G32,Premissas!$B$10:$B$14)</f>
        <v>1</v>
      </c>
      <c r="I32" s="184">
        <v>0.25</v>
      </c>
      <c r="J32" s="176">
        <f t="array" ref="J32">INDEX(Geral!$J$13:$J$20,MATCH(D32,Geral!$G$13:$G$20,0))*I32</f>
        <v>6.324110672</v>
      </c>
      <c r="K32" s="178"/>
      <c r="L32" s="178"/>
      <c r="M32" s="185" t="s">
        <v>232</v>
      </c>
      <c r="AJ32" s="186"/>
    </row>
    <row r="33" ht="15.0" customHeight="1">
      <c r="A33" s="179" t="s">
        <v>252</v>
      </c>
      <c r="B33" s="180"/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1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0"/>
      <c r="AI33" s="180"/>
      <c r="AJ33" s="180"/>
    </row>
    <row r="34" ht="15.0" customHeight="1">
      <c r="A34" s="178">
        <v>25.0</v>
      </c>
      <c r="B34" s="182" t="s">
        <v>253</v>
      </c>
      <c r="C34" s="178" t="s">
        <v>200</v>
      </c>
      <c r="D34" s="178" t="s">
        <v>73</v>
      </c>
      <c r="E34" s="178" t="s">
        <v>234</v>
      </c>
      <c r="F34" s="183">
        <v>46332.0</v>
      </c>
      <c r="G34" s="183">
        <v>46335.0</v>
      </c>
      <c r="H34" s="178">
        <f>NETWORKDAYS(F34,G34,Premissas!$B$10:$B$14)</f>
        <v>2</v>
      </c>
      <c r="I34" s="184">
        <v>0.15</v>
      </c>
      <c r="J34" s="176">
        <f t="array" ref="J34">INDEX(Geral!$J$13:$J$20,MATCH(D34,Geral!$G$13:$G$20,0))*I34</f>
        <v>2.193675889</v>
      </c>
      <c r="K34" s="178"/>
      <c r="L34" s="178"/>
      <c r="M34" s="185" t="s">
        <v>232</v>
      </c>
      <c r="AA34" s="186"/>
      <c r="AB34" s="186"/>
    </row>
    <row r="35" ht="15.0" customHeight="1">
      <c r="A35" s="178">
        <v>26.0</v>
      </c>
      <c r="B35" s="182" t="s">
        <v>254</v>
      </c>
      <c r="C35" s="178" t="s">
        <v>200</v>
      </c>
      <c r="D35" s="178" t="s">
        <v>58</v>
      </c>
      <c r="E35" s="178" t="s">
        <v>220</v>
      </c>
      <c r="F35" s="183">
        <v>46332.0</v>
      </c>
      <c r="G35" s="183">
        <v>46332.0</v>
      </c>
      <c r="H35" s="178">
        <f>NETWORKDAYS(F35,G35,Premissas!$B$10:$B$14)</f>
        <v>1</v>
      </c>
      <c r="I35" s="184">
        <v>0.1</v>
      </c>
      <c r="J35" s="176">
        <f t="array" ref="J35">INDEX(Geral!$J$13:$J$20,MATCH(D35,Geral!$G$13:$G$20,0))*I35</f>
        <v>5.849802372</v>
      </c>
      <c r="K35" s="178"/>
      <c r="L35" s="178"/>
      <c r="M35" s="185" t="s">
        <v>232</v>
      </c>
      <c r="AA35" s="186"/>
    </row>
    <row r="36" ht="15.0" customHeight="1">
      <c r="A36" s="178">
        <v>27.0</v>
      </c>
      <c r="B36" s="182" t="s">
        <v>255</v>
      </c>
      <c r="C36" s="178" t="s">
        <v>200</v>
      </c>
      <c r="D36" s="178" t="s">
        <v>97</v>
      </c>
      <c r="E36" s="178" t="s">
        <v>238</v>
      </c>
      <c r="F36" s="183">
        <v>46335.0</v>
      </c>
      <c r="G36" s="183">
        <v>46337.0</v>
      </c>
      <c r="H36" s="178">
        <f>NETWORKDAYS(F36,G36,Premissas!$B$10:$B$14)</f>
        <v>3</v>
      </c>
      <c r="I36" s="187">
        <f>Premissas!$C$5*K36/UC!$D$10</f>
        <v>0.08888888889</v>
      </c>
      <c r="J36" s="176">
        <f t="array" ref="J36">INDEX(Geral!$J$13:$J$20,MATCH(D36,Geral!$G$13:$G$20,0))*I36</f>
        <v>17.56697409</v>
      </c>
      <c r="K36" s="178">
        <f t="array" ref="K36">INDEX(UC!$C$7:$C$9,MATCH(UC!$D$17,UC!$B$7:$B$9,0))</f>
        <v>10</v>
      </c>
      <c r="L36" s="178"/>
      <c r="M36" s="185" t="s">
        <v>232</v>
      </c>
      <c r="AB36" s="186"/>
      <c r="AC36" s="186"/>
      <c r="AD36" s="186"/>
    </row>
    <row r="37" ht="15.0" customHeight="1">
      <c r="A37" s="178">
        <v>28.0</v>
      </c>
      <c r="B37" s="182" t="s">
        <v>256</v>
      </c>
      <c r="C37" s="178" t="s">
        <v>200</v>
      </c>
      <c r="D37" s="178" t="s">
        <v>97</v>
      </c>
      <c r="E37" s="178" t="s">
        <v>238</v>
      </c>
      <c r="F37" s="183">
        <v>46336.0</v>
      </c>
      <c r="G37" s="183">
        <v>46337.0</v>
      </c>
      <c r="H37" s="178">
        <f>NETWORKDAYS(F37,G37,Premissas!$B$10:$B$14)</f>
        <v>2</v>
      </c>
      <c r="I37" s="187">
        <f>Premissas!$C$5*K37/UC!$D$10</f>
        <v>0.08888888889</v>
      </c>
      <c r="J37" s="176">
        <f t="array" ref="J37">INDEX(Geral!$J$13:$J$20,MATCH(D37,Geral!$G$13:$G$20,0))*I37</f>
        <v>17.56697409</v>
      </c>
      <c r="K37" s="178">
        <f t="array" ref="K37">INDEX(UC!$C$7:$C$9,MATCH(UC!$D$18,UC!$B$7:$B$9,0))</f>
        <v>10</v>
      </c>
      <c r="L37" s="178"/>
      <c r="M37" s="185" t="s">
        <v>232</v>
      </c>
      <c r="AC37" s="186"/>
      <c r="AD37" s="186"/>
    </row>
    <row r="38" ht="15.0" customHeight="1">
      <c r="A38" s="178">
        <v>29.0</v>
      </c>
      <c r="B38" s="182" t="s">
        <v>257</v>
      </c>
      <c r="C38" s="178" t="s">
        <v>200</v>
      </c>
      <c r="D38" s="178" t="s">
        <v>97</v>
      </c>
      <c r="E38" s="178" t="s">
        <v>258</v>
      </c>
      <c r="F38" s="183">
        <v>46337.0</v>
      </c>
      <c r="G38" s="183">
        <v>46337.0</v>
      </c>
      <c r="H38" s="178">
        <f>NETWORKDAYS(F38,G38,Premissas!$B$10:$B$14)</f>
        <v>1</v>
      </c>
      <c r="I38" s="187">
        <f>Premissas!$C$5*K38/UC!$D$10</f>
        <v>0.08888888889</v>
      </c>
      <c r="J38" s="176">
        <f t="array" ref="J38">INDEX(Geral!$J$13:$J$20,MATCH(D38,Geral!$G$13:$G$20,0))*I38</f>
        <v>17.56697409</v>
      </c>
      <c r="K38" s="178">
        <f t="array" ref="K38">INDEX(UC!$C$7:$C$9,MATCH(UC!$D$21,UC!$B$7:$B$9,0))</f>
        <v>10</v>
      </c>
      <c r="L38" s="178"/>
      <c r="M38" s="185" t="s">
        <v>232</v>
      </c>
      <c r="AD38" s="186"/>
    </row>
    <row r="39" ht="15.0" customHeight="1">
      <c r="A39" s="178">
        <v>30.0</v>
      </c>
      <c r="B39" s="182" t="s">
        <v>259</v>
      </c>
      <c r="C39" s="178" t="s">
        <v>200</v>
      </c>
      <c r="D39" s="178" t="s">
        <v>97</v>
      </c>
      <c r="E39" s="178" t="s">
        <v>241</v>
      </c>
      <c r="F39" s="183">
        <v>46338.0</v>
      </c>
      <c r="G39" s="183">
        <v>46338.0</v>
      </c>
      <c r="H39" s="178">
        <f>NETWORKDAYS(F39,G39,Premissas!$B$10:$B$14)</f>
        <v>1</v>
      </c>
      <c r="I39" s="187">
        <f>Premissas!$C$6*L39/UC!$D$10</f>
        <v>0.06666666667</v>
      </c>
      <c r="J39" s="176">
        <f t="array" ref="J39">INDEX(Geral!$J$13:$J$20,MATCH(D39,Geral!$G$13:$G$20,0))*I39</f>
        <v>13.17523057</v>
      </c>
      <c r="K39" s="178"/>
      <c r="L39" s="178">
        <f>SUMIFS($K$6:$K$80,$C$6:$C$80,C39)</f>
        <v>30</v>
      </c>
      <c r="M39" s="185" t="s">
        <v>232</v>
      </c>
      <c r="AE39" s="186"/>
    </row>
    <row r="40" ht="15.0" customHeight="1">
      <c r="A40" s="178">
        <v>31.0</v>
      </c>
      <c r="B40" s="182" t="s">
        <v>260</v>
      </c>
      <c r="C40" s="178" t="s">
        <v>200</v>
      </c>
      <c r="D40" s="178" t="s">
        <v>102</v>
      </c>
      <c r="E40" s="178" t="s">
        <v>229</v>
      </c>
      <c r="F40" s="183">
        <v>46345.0</v>
      </c>
      <c r="G40" s="183">
        <v>46345.0</v>
      </c>
      <c r="H40" s="178">
        <f>NETWORKDAYS(F40,G40,Premissas!$B$10:$B$14)</f>
        <v>1</v>
      </c>
      <c r="I40" s="184">
        <v>0.225</v>
      </c>
      <c r="J40" s="176">
        <f t="array" ref="J40">INDEX(Geral!$J$13:$J$20,MATCH(D40,Geral!$G$13:$G$20,0))*I40</f>
        <v>10.84980237</v>
      </c>
      <c r="K40" s="178"/>
      <c r="L40" s="178"/>
      <c r="M40" s="185" t="s">
        <v>232</v>
      </c>
      <c r="AJ40" s="186"/>
    </row>
    <row r="41" ht="15.0" customHeight="1">
      <c r="A41" s="178">
        <v>32.0</v>
      </c>
      <c r="B41" s="182" t="s">
        <v>261</v>
      </c>
      <c r="C41" s="178" t="s">
        <v>200</v>
      </c>
      <c r="D41" s="178" t="s">
        <v>107</v>
      </c>
      <c r="E41" s="178" t="s">
        <v>229</v>
      </c>
      <c r="F41" s="183">
        <v>46345.0</v>
      </c>
      <c r="G41" s="183">
        <v>46345.0</v>
      </c>
      <c r="H41" s="178">
        <f>NETWORKDAYS(F41,G41,Premissas!$B$10:$B$14)</f>
        <v>1</v>
      </c>
      <c r="I41" s="184">
        <v>0.25</v>
      </c>
      <c r="J41" s="176">
        <f t="array" ref="J41">INDEX(Geral!$J$13:$J$20,MATCH(D41,Geral!$G$13:$G$20,0))*I41</f>
        <v>6.324110672</v>
      </c>
      <c r="K41" s="178"/>
      <c r="L41" s="178"/>
      <c r="M41" s="185" t="s">
        <v>232</v>
      </c>
      <c r="AJ41" s="186"/>
    </row>
    <row r="42" ht="15.0" customHeight="1">
      <c r="A42" s="179" t="s">
        <v>262</v>
      </c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1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  <c r="AC42" s="180"/>
      <c r="AD42" s="180"/>
      <c r="AE42" s="180"/>
      <c r="AF42" s="180"/>
      <c r="AG42" s="180"/>
      <c r="AH42" s="180"/>
      <c r="AI42" s="180"/>
      <c r="AJ42" s="180"/>
    </row>
    <row r="43" ht="15.0" customHeight="1">
      <c r="A43" s="178">
        <v>33.0</v>
      </c>
      <c r="B43" s="182" t="s">
        <v>263</v>
      </c>
      <c r="C43" s="178" t="s">
        <v>202</v>
      </c>
      <c r="D43" s="178" t="s">
        <v>73</v>
      </c>
      <c r="E43" s="178" t="s">
        <v>234</v>
      </c>
      <c r="F43" s="183">
        <v>46339.0</v>
      </c>
      <c r="G43" s="183">
        <v>46342.0</v>
      </c>
      <c r="H43" s="178">
        <f>NETWORKDAYS(F43,G43,Premissas!$B$10:$B$14)</f>
        <v>2</v>
      </c>
      <c r="I43" s="184">
        <v>0.1</v>
      </c>
      <c r="J43" s="176">
        <f t="array" ref="J43">INDEX(Geral!$J$13:$J$20,MATCH(D43,Geral!$G$13:$G$20,0))*I43</f>
        <v>1.462450593</v>
      </c>
      <c r="K43" s="178"/>
      <c r="L43" s="178"/>
      <c r="M43" s="185" t="s">
        <v>232</v>
      </c>
      <c r="AF43" s="186"/>
      <c r="AG43" s="186"/>
    </row>
    <row r="44" ht="15.0" customHeight="1">
      <c r="A44" s="178">
        <v>34.0</v>
      </c>
      <c r="B44" s="182" t="s">
        <v>264</v>
      </c>
      <c r="C44" s="178" t="s">
        <v>202</v>
      </c>
      <c r="D44" s="178" t="s">
        <v>58</v>
      </c>
      <c r="E44" s="178" t="s">
        <v>220</v>
      </c>
      <c r="F44" s="183">
        <v>46339.0</v>
      </c>
      <c r="G44" s="183">
        <v>46339.0</v>
      </c>
      <c r="H44" s="178">
        <f>NETWORKDAYS(F44,G44,Premissas!$B$10:$B$14)</f>
        <v>1</v>
      </c>
      <c r="I44" s="184">
        <v>0.1</v>
      </c>
      <c r="J44" s="176">
        <f t="array" ref="J44">INDEX(Geral!$J$13:$J$20,MATCH(D44,Geral!$G$13:$G$20,0))*I44</f>
        <v>5.849802372</v>
      </c>
      <c r="K44" s="178"/>
      <c r="L44" s="178"/>
      <c r="M44" s="185" t="s">
        <v>232</v>
      </c>
      <c r="AF44" s="186"/>
    </row>
    <row r="45" ht="15.0" customHeight="1">
      <c r="A45" s="178">
        <v>35.0</v>
      </c>
      <c r="B45" s="182" t="s">
        <v>265</v>
      </c>
      <c r="C45" s="178" t="s">
        <v>202</v>
      </c>
      <c r="D45" s="178" t="s">
        <v>97</v>
      </c>
      <c r="E45" s="178" t="s">
        <v>238</v>
      </c>
      <c r="F45" s="183">
        <v>46342.0</v>
      </c>
      <c r="G45" s="183">
        <v>46344.0</v>
      </c>
      <c r="H45" s="178">
        <f>NETWORKDAYS(F45,G45,Premissas!$B$10:$B$14)</f>
        <v>3</v>
      </c>
      <c r="I45" s="187">
        <f>Premissas!$C$5*K45/UC!$D$10</f>
        <v>0.08888888889</v>
      </c>
      <c r="J45" s="176">
        <f t="array" ref="J45">INDEX(Geral!$J$13:$J$20,MATCH(D45,Geral!$G$13:$G$20,0))*I45</f>
        <v>17.56697409</v>
      </c>
      <c r="K45" s="178">
        <f t="array" ref="K45">INDEX(UC!$C$7:$C$9,MATCH(UC!$D$19,UC!$B$7:$B$9,0))</f>
        <v>10</v>
      </c>
      <c r="L45" s="178"/>
      <c r="M45" s="185" t="s">
        <v>232</v>
      </c>
      <c r="AG45" s="186"/>
      <c r="AH45" s="186"/>
      <c r="AI45" s="186"/>
    </row>
    <row r="46" ht="15.0" customHeight="1">
      <c r="A46" s="178">
        <v>36.0</v>
      </c>
      <c r="B46" s="182" t="s">
        <v>266</v>
      </c>
      <c r="C46" s="178" t="s">
        <v>202</v>
      </c>
      <c r="D46" s="178" t="s">
        <v>97</v>
      </c>
      <c r="E46" s="178" t="s">
        <v>238</v>
      </c>
      <c r="F46" s="183">
        <v>46343.0</v>
      </c>
      <c r="G46" s="183">
        <v>46344.0</v>
      </c>
      <c r="H46" s="178">
        <f>NETWORKDAYS(F46,G46,Premissas!$B$10:$B$14)</f>
        <v>2</v>
      </c>
      <c r="I46" s="187">
        <f>Premissas!$C$5*K46/UC!$D$10</f>
        <v>0.08888888889</v>
      </c>
      <c r="J46" s="176">
        <f t="array" ref="J46">INDEX(Geral!$J$13:$J$20,MATCH(D46,Geral!$G$13:$G$20,0))*I46</f>
        <v>17.56697409</v>
      </c>
      <c r="K46" s="178">
        <f t="array" ref="K46">INDEX(UC!$C$7:$C$9,MATCH(UC!$D$20,UC!$B$7:$B$9,0))</f>
        <v>10</v>
      </c>
      <c r="L46" s="178"/>
      <c r="M46" s="185" t="s">
        <v>232</v>
      </c>
      <c r="AH46" s="186"/>
      <c r="AI46" s="186"/>
    </row>
    <row r="47" ht="15.0" customHeight="1">
      <c r="A47" s="178">
        <v>37.0</v>
      </c>
      <c r="B47" s="182" t="s">
        <v>267</v>
      </c>
      <c r="C47" s="178" t="s">
        <v>202</v>
      </c>
      <c r="D47" s="178" t="s">
        <v>97</v>
      </c>
      <c r="E47" s="178" t="s">
        <v>241</v>
      </c>
      <c r="F47" s="183">
        <v>46344.0</v>
      </c>
      <c r="G47" s="183">
        <v>46345.0</v>
      </c>
      <c r="H47" s="178">
        <f>NETWORKDAYS(F47,G47,Premissas!$B$10:$B$14)</f>
        <v>2</v>
      </c>
      <c r="I47" s="187">
        <f>Premissas!$C$6*L47/UC!$D$10</f>
        <v>0.04444444444</v>
      </c>
      <c r="J47" s="176">
        <f t="array" ref="J47">INDEX(Geral!$J$13:$J$20,MATCH(D47,Geral!$G$13:$G$20,0))*I47</f>
        <v>8.783487044</v>
      </c>
      <c r="K47" s="178"/>
      <c r="L47" s="178">
        <f>SUMIFS($K$6:$K$80,$C$6:$C$80,C47)</f>
        <v>20</v>
      </c>
      <c r="M47" s="185" t="s">
        <v>232</v>
      </c>
      <c r="AI47" s="186"/>
      <c r="AJ47" s="186"/>
    </row>
    <row r="48" ht="15.0" customHeight="1">
      <c r="A48" s="178">
        <v>38.0</v>
      </c>
      <c r="B48" s="182" t="s">
        <v>268</v>
      </c>
      <c r="C48" s="178" t="s">
        <v>202</v>
      </c>
      <c r="D48" s="178" t="s">
        <v>102</v>
      </c>
      <c r="E48" s="178" t="s">
        <v>229</v>
      </c>
      <c r="F48" s="183">
        <v>46345.0</v>
      </c>
      <c r="G48" s="183">
        <v>46345.0</v>
      </c>
      <c r="H48" s="178">
        <f>NETWORKDAYS(F48,G48,Premissas!$B$10:$B$14)</f>
        <v>1</v>
      </c>
      <c r="I48" s="184">
        <v>0.225</v>
      </c>
      <c r="J48" s="176">
        <f t="array" ref="J48">INDEX(Geral!$J$13:$J$20,MATCH(D48,Geral!$G$13:$G$20,0))*I48</f>
        <v>10.84980237</v>
      </c>
      <c r="K48" s="178"/>
      <c r="L48" s="178"/>
      <c r="M48" s="185" t="s">
        <v>232</v>
      </c>
      <c r="AJ48" s="186"/>
    </row>
    <row r="49" ht="15.0" customHeight="1">
      <c r="A49" s="178">
        <v>39.0</v>
      </c>
      <c r="B49" s="182" t="s">
        <v>269</v>
      </c>
      <c r="C49" s="178" t="s">
        <v>202</v>
      </c>
      <c r="D49" s="178" t="s">
        <v>107</v>
      </c>
      <c r="E49" s="178" t="s">
        <v>229</v>
      </c>
      <c r="F49" s="183">
        <v>46345.0</v>
      </c>
      <c r="G49" s="183">
        <v>46345.0</v>
      </c>
      <c r="H49" s="178">
        <f>NETWORKDAYS(F49,G49,Premissas!$B$10:$B$14)</f>
        <v>1</v>
      </c>
      <c r="I49" s="184">
        <v>0.25</v>
      </c>
      <c r="J49" s="176">
        <f t="array" ref="J49">INDEX(Geral!$J$13:$J$20,MATCH(D49,Geral!$G$13:$G$20,0))*I49</f>
        <v>6.324110672</v>
      </c>
      <c r="K49" s="178"/>
      <c r="L49" s="178"/>
      <c r="M49" s="185" t="s">
        <v>232</v>
      </c>
      <c r="AJ49" s="186"/>
    </row>
    <row r="50" ht="15.0" customHeight="1">
      <c r="A50" s="178">
        <v>40.0</v>
      </c>
      <c r="B50" s="182" t="s">
        <v>270</v>
      </c>
      <c r="C50" s="178" t="s">
        <v>202</v>
      </c>
      <c r="D50" s="178" t="s">
        <v>104</v>
      </c>
      <c r="E50" s="178" t="s">
        <v>229</v>
      </c>
      <c r="F50" s="183">
        <v>46344.0</v>
      </c>
      <c r="G50" s="183">
        <v>46345.0</v>
      </c>
      <c r="H50" s="178">
        <f>NETWORKDAYS(F50,G50,Premissas!$B$10:$B$14)</f>
        <v>2</v>
      </c>
      <c r="I50" s="184">
        <v>0.6</v>
      </c>
      <c r="J50" s="176">
        <f t="array" ref="J50">INDEX(Geral!$J$13:$J$20,MATCH(D50,Geral!$G$13:$G$20,0))*I50</f>
        <v>9.486166008</v>
      </c>
      <c r="K50" s="178"/>
      <c r="L50" s="178"/>
      <c r="M50" s="185" t="s">
        <v>232</v>
      </c>
      <c r="AI50" s="186"/>
      <c r="AJ50" s="186"/>
    </row>
    <row r="51" ht="15.0" customHeight="1">
      <c r="A51" s="178">
        <v>41.0</v>
      </c>
      <c r="B51" s="182" t="s">
        <v>271</v>
      </c>
      <c r="C51" s="178" t="s">
        <v>202</v>
      </c>
      <c r="D51" s="178" t="s">
        <v>104</v>
      </c>
      <c r="E51" s="178" t="s">
        <v>229</v>
      </c>
      <c r="F51" s="183">
        <v>46345.0</v>
      </c>
      <c r="G51" s="183">
        <v>46345.0</v>
      </c>
      <c r="H51" s="178">
        <f>NETWORKDAYS(F51,G51,Premissas!$B$10:$B$14)</f>
        <v>1</v>
      </c>
      <c r="I51" s="184">
        <v>0.4</v>
      </c>
      <c r="J51" s="176">
        <f t="array" ref="J51">INDEX(Geral!$J$13:$J$20,MATCH(D51,Geral!$G$13:$G$20,0))*I51</f>
        <v>6.324110672</v>
      </c>
      <c r="K51" s="178"/>
      <c r="L51" s="178"/>
      <c r="M51" s="185" t="s">
        <v>232</v>
      </c>
      <c r="AJ51" s="186"/>
    </row>
    <row r="52" ht="15.0" customHeight="1">
      <c r="B52" s="110" t="s">
        <v>109</v>
      </c>
      <c r="J52" s="169">
        <f>SUM(J6:J51)</f>
        <v>400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E3:G3"/>
    <mergeCell ref="H3:L3"/>
  </mergeCells>
  <conditionalFormatting sqref="M7:M51">
    <cfRule type="expression" dxfId="0" priority="1">
      <formula>AND($F7&lt;&gt;"",$M7="Pronto")</formula>
    </cfRule>
  </conditionalFormatting>
  <conditionalFormatting sqref="M7:M51">
    <cfRule type="expression" dxfId="1" priority="2">
      <formula>AND($F7&lt;&gt;"",OR($M7="Atrasado",AND($M7&lt;&gt;"Pronto",$G7&lt;TODAY())))</formula>
    </cfRule>
  </conditionalFormatting>
  <conditionalFormatting sqref="M7:M51">
    <cfRule type="expression" dxfId="2" priority="3">
      <formula>$F7&lt;&gt;""</formula>
    </cfRule>
  </conditionalFormatting>
  <conditionalFormatting sqref="N6:AJ51">
    <cfRule type="expression" dxfId="3" priority="4">
      <formula>AND($M6="Pronto",N$5&gt;=$F6,N$5&lt;=$G6,$F6&lt;&gt;"")</formula>
    </cfRule>
  </conditionalFormatting>
  <conditionalFormatting sqref="N6:AJ51">
    <cfRule type="expression" dxfId="4" priority="5">
      <formula>AND(OR($M6="Atrasado",AND($M6&lt;&gt;"Pronto",$G6&lt;TODAY())),N$5&gt;=$F6,N$5&lt;=$G6,$F6&lt;&gt;"")</formula>
    </cfRule>
  </conditionalFormatting>
  <conditionalFormatting sqref="N6:AJ51">
    <cfRule type="expression" dxfId="5" priority="6">
      <formula>AND(N$5&gt;=$F6,N$5&lt;=$G6,$F6&lt;&gt;"")</formula>
    </cfRule>
  </conditionalFormatting>
  <dataValidations>
    <dataValidation type="list" allowBlank="1" showInputMessage="1" showErrorMessage="1" prompt="Escolha Pronto, Planejado ou Atrasado" sqref="M7:M51">
      <formula1>"Pronto,Planejado,Atrasado"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6" width="13.0"/>
    <col customWidth="1" min="7" max="7" width="16.0"/>
    <col customWidth="1" min="8" max="12" width="13.0"/>
    <col customWidth="1" min="13" max="13" width="80.0"/>
    <col customWidth="1" min="14" max="26" width="8.75"/>
  </cols>
  <sheetData>
    <row r="1" ht="17.25" customHeight="1">
      <c r="A1" s="145" t="s">
        <v>179</v>
      </c>
    </row>
    <row r="2" ht="15.0" customHeight="1">
      <c r="A2" s="144" t="s">
        <v>180</v>
      </c>
    </row>
    <row r="3" ht="12.75" customHeight="1"/>
    <row r="4" ht="12.75" customHeight="1"/>
    <row r="5" ht="51.75" customHeight="1">
      <c r="A5" s="162" t="s">
        <v>181</v>
      </c>
      <c r="B5" s="162" t="s">
        <v>182</v>
      </c>
      <c r="C5" s="162" t="s">
        <v>183</v>
      </c>
      <c r="D5" s="162" t="s">
        <v>184</v>
      </c>
      <c r="E5" s="162" t="s">
        <v>185</v>
      </c>
      <c r="F5" s="162" t="s">
        <v>186</v>
      </c>
      <c r="G5" s="162" t="s">
        <v>187</v>
      </c>
      <c r="H5" s="162" t="s">
        <v>188</v>
      </c>
      <c r="I5" s="162" t="s">
        <v>189</v>
      </c>
      <c r="J5" s="162" t="s">
        <v>190</v>
      </c>
      <c r="K5" s="162" t="s">
        <v>191</v>
      </c>
      <c r="L5" s="162" t="s">
        <v>192</v>
      </c>
      <c r="M5" s="162" t="s">
        <v>193</v>
      </c>
    </row>
    <row r="6" ht="39.75" customHeight="1">
      <c r="A6" s="163" t="s">
        <v>194</v>
      </c>
      <c r="B6" s="164">
        <f>Premissas!$C$7</f>
        <v>46313</v>
      </c>
      <c r="C6" s="165">
        <v>46313.0</v>
      </c>
      <c r="D6" s="165">
        <v>46315.0</v>
      </c>
      <c r="E6" s="163">
        <f>NETWORKDAYS(B6,D6,Premissas!$B$10:$B$14)</f>
        <v>2</v>
      </c>
      <c r="F6" s="166">
        <f>SUMIF(Cronograma!$C$6:$C$51,A6,Cronograma!$J$6:$J$51)</f>
        <v>72.8458498</v>
      </c>
      <c r="G6" s="166">
        <f>F6/(E6*Premissas!$C$4)</f>
        <v>6.070487484</v>
      </c>
      <c r="H6" s="167">
        <v>0.0</v>
      </c>
      <c r="I6" s="163">
        <f>COUNTIFS(Cronograma!$C$6:$C$51,A6,Cronograma!$E$6:$E$51,"CRUD")</f>
        <v>0</v>
      </c>
      <c r="J6" s="167">
        <v>0.0</v>
      </c>
      <c r="K6" s="163">
        <f>COUNTIFS(Cronograma!$C$6:$C$51,A6,Cronograma!$E$6:$E$51,"Relatório")</f>
        <v>0</v>
      </c>
      <c r="L6" s="163" t="str">
        <f t="shared" ref="L6:L10" si="1">IF(AND(I6=H6,K6=J6),"OK","Verificar")</f>
        <v>OK</v>
      </c>
      <c r="M6" s="168" t="s">
        <v>195</v>
      </c>
    </row>
    <row r="7" ht="39.75" customHeight="1">
      <c r="A7" s="163" t="s">
        <v>196</v>
      </c>
      <c r="B7" s="164">
        <f>MINIFS(Cronograma!$F$6:$F$51,Cronograma!$C$6:$C$51,A7)</f>
        <v>46316</v>
      </c>
      <c r="C7" s="165">
        <v>46343.0</v>
      </c>
      <c r="D7" s="165">
        <v>46345.0</v>
      </c>
      <c r="E7" s="163">
        <f>NETWORKDAYS(B7,D7,Premissas!$B$10:$B$14)</f>
        <v>21</v>
      </c>
      <c r="F7" s="166">
        <f>SUMIF(Cronograma!$C$6:$C$51,A7,Cronograma!$J$6:$J$51)</f>
        <v>71.73254282</v>
      </c>
      <c r="G7" s="166">
        <f>F7/(E7*Premissas!$C$4)</f>
        <v>0.5693058954</v>
      </c>
      <c r="H7" s="167">
        <v>2.0</v>
      </c>
      <c r="I7" s="163">
        <f>COUNTIFS(Cronograma!$C$6:$C$51,A7,Cronograma!$E$6:$E$51,"CRUD")+I6</f>
        <v>2</v>
      </c>
      <c r="J7" s="167">
        <v>0.0</v>
      </c>
      <c r="K7" s="163">
        <f>COUNTIFS(Cronograma!$C$6:$C$51,A7,Cronograma!$E$6:$E$51,"Relatório")+K6</f>
        <v>0</v>
      </c>
      <c r="L7" s="163" t="str">
        <f t="shared" si="1"/>
        <v>OK</v>
      </c>
      <c r="M7" s="168" t="s">
        <v>197</v>
      </c>
    </row>
    <row r="8" ht="39.75" customHeight="1">
      <c r="A8" s="163" t="s">
        <v>198</v>
      </c>
      <c r="B8" s="164">
        <f>MINIFS(Cronograma!$F$6:$F$51,Cronograma!$C$6:$C$51,A8)</f>
        <v>46325</v>
      </c>
      <c r="C8" s="165">
        <v>46343.0</v>
      </c>
      <c r="D8" s="165">
        <v>46345.0</v>
      </c>
      <c r="E8" s="163">
        <f>NETWORKDAYS(B8,D8,Premissas!$B$10:$B$14)</f>
        <v>14</v>
      </c>
      <c r="F8" s="166">
        <f>SUMIF(Cronograma!$C$6:$C$51,A8,Cronograma!$J$6:$J$51)</f>
        <v>80.11418533</v>
      </c>
      <c r="G8" s="166">
        <f>F8/(E8*Premissas!$C$4)</f>
        <v>0.9537403016</v>
      </c>
      <c r="H8" s="167">
        <v>4.0</v>
      </c>
      <c r="I8" s="163">
        <f>COUNTIFS(Cronograma!$C$6:$C$51,A8,Cronograma!$E$6:$E$51,"CRUD")+I7</f>
        <v>4</v>
      </c>
      <c r="J8" s="167">
        <v>0.0</v>
      </c>
      <c r="K8" s="163">
        <f>COUNTIFS(Cronograma!$C$6:$C$51,A8,Cronograma!$E$6:$E$51,"Relatório")+K7</f>
        <v>0</v>
      </c>
      <c r="L8" s="163" t="str">
        <f t="shared" si="1"/>
        <v>OK</v>
      </c>
      <c r="M8" s="168" t="s">
        <v>199</v>
      </c>
    </row>
    <row r="9" ht="39.75" customHeight="1">
      <c r="A9" s="163" t="s">
        <v>200</v>
      </c>
      <c r="B9" s="164">
        <f>MINIFS(Cronograma!$F$6:$F$51,Cronograma!$C$6:$C$51,A9)</f>
        <v>46332</v>
      </c>
      <c r="C9" s="165">
        <v>46343.0</v>
      </c>
      <c r="D9" s="165">
        <v>46345.0</v>
      </c>
      <c r="E9" s="163">
        <f>NETWORKDAYS(B9,D9,Premissas!$B$10:$B$14)</f>
        <v>10</v>
      </c>
      <c r="F9" s="166">
        <f>SUMIF(Cronograma!$C$6:$C$51,A9,Cronograma!$J$6:$J$51)</f>
        <v>91.09354414</v>
      </c>
      <c r="G9" s="166">
        <f>F9/(E9*Premissas!$C$4)</f>
        <v>1.518225736</v>
      </c>
      <c r="H9" s="167">
        <v>6.0</v>
      </c>
      <c r="I9" s="163">
        <f>COUNTIFS(Cronograma!$C$6:$C$51,A9,Cronograma!$E$6:$E$51,"CRUD")+I8</f>
        <v>6</v>
      </c>
      <c r="J9" s="167">
        <v>1.0</v>
      </c>
      <c r="K9" s="163">
        <f>COUNTIFS(Cronograma!$C$6:$C$51,A9,Cronograma!$E$6:$E$51,"Relatório")+K8</f>
        <v>1</v>
      </c>
      <c r="L9" s="163" t="str">
        <f t="shared" si="1"/>
        <v>OK</v>
      </c>
      <c r="M9" s="168" t="s">
        <v>201</v>
      </c>
    </row>
    <row r="10" ht="39.75" customHeight="1">
      <c r="A10" s="163" t="s">
        <v>202</v>
      </c>
      <c r="B10" s="164">
        <f>MINIFS(Cronograma!$F$6:$F$51,Cronograma!$C$6:$C$51,A10)</f>
        <v>46339</v>
      </c>
      <c r="C10" s="165">
        <v>46343.0</v>
      </c>
      <c r="D10" s="165">
        <v>46345.0</v>
      </c>
      <c r="E10" s="163">
        <f>NETWORKDAYS(B10,D10,Premissas!$B$10:$B$14)</f>
        <v>5</v>
      </c>
      <c r="F10" s="166">
        <f>SUMIF(Cronograma!$C$6:$C$51,A10,Cronograma!$J$6:$J$51)</f>
        <v>84.21387791</v>
      </c>
      <c r="G10" s="166">
        <f>F10/(E10*Premissas!$C$4)</f>
        <v>2.807129264</v>
      </c>
      <c r="H10" s="167">
        <v>8.0</v>
      </c>
      <c r="I10" s="163">
        <f>COUNTIFS(Cronograma!$C$6:$C$51,A10,Cronograma!$E$6:$E$51,"CRUD")+I9</f>
        <v>8</v>
      </c>
      <c r="J10" s="167">
        <v>1.0</v>
      </c>
      <c r="K10" s="163">
        <f>COUNTIFS(Cronograma!$C$6:$C$51,A10,Cronograma!$E$6:$E$51,"Relatório")+K9</f>
        <v>1</v>
      </c>
      <c r="L10" s="163" t="str">
        <f t="shared" si="1"/>
        <v>OK</v>
      </c>
      <c r="M10" s="168" t="s">
        <v>203</v>
      </c>
    </row>
    <row r="11" ht="15.0" customHeight="1">
      <c r="A11" s="110" t="s">
        <v>109</v>
      </c>
      <c r="E11" s="110">
        <f>NETWORKDAYS(MIN(B6:B10),MAX(D6:D10),Premissas!$B$10:$B$14)</f>
        <v>23</v>
      </c>
      <c r="F11" s="169">
        <f>SUM(F6:F10)</f>
        <v>400</v>
      </c>
      <c r="G11" s="169">
        <f>F11/(E11*Premissas!$C$4)</f>
        <v>2.898550725</v>
      </c>
    </row>
    <row r="12" ht="12.75" customHeight="1"/>
    <row r="13" ht="12.75" customHeight="1"/>
    <row r="14" ht="15.0" customHeight="1">
      <c r="A14" s="171" t="s">
        <v>214</v>
      </c>
    </row>
    <row r="15" ht="21.75" customHeight="1">
      <c r="A15" s="172" t="s">
        <v>205</v>
      </c>
      <c r="B15" s="173"/>
      <c r="C15" s="173"/>
      <c r="D15" s="172" t="s">
        <v>215</v>
      </c>
      <c r="E15" s="172" t="s">
        <v>216</v>
      </c>
      <c r="F15" s="172" t="s">
        <v>217</v>
      </c>
      <c r="G15" s="172" t="s">
        <v>192</v>
      </c>
    </row>
    <row r="16" ht="15.0" customHeight="1">
      <c r="A16" s="175" t="str">
        <f>Geral!G13</f>
        <v>Fase de Prospecção</v>
      </c>
      <c r="B16" s="34"/>
      <c r="C16" s="36"/>
      <c r="D16" s="176">
        <f>Geral!J13</f>
        <v>16.60079051</v>
      </c>
      <c r="E16" s="176">
        <f>SUMIF(Cronograma!$D$6:$D$51,A16,Cronograma!$J$6:$J$51)</f>
        <v>16.60079051</v>
      </c>
      <c r="F16" s="177">
        <f t="shared" ref="F16:F23" si="2">IF(D16=0,0,E16/D16)</f>
        <v>1</v>
      </c>
      <c r="G16" s="178" t="str">
        <f t="shared" ref="G16:G23" si="3">IF(ABS(E16-D16)&lt;0.01,"OK","Verificar")</f>
        <v>OK</v>
      </c>
    </row>
    <row r="17" ht="15.0" customHeight="1">
      <c r="A17" s="175" t="str">
        <f>Geral!G14</f>
        <v>Fase de Análise</v>
      </c>
      <c r="B17" s="34"/>
      <c r="C17" s="36"/>
      <c r="D17" s="176">
        <f>Geral!J14</f>
        <v>58.49802372</v>
      </c>
      <c r="E17" s="176">
        <f>SUMIF(Cronograma!$D$6:$D$51,A17,Cronograma!$J$6:$J$51)</f>
        <v>58.49802372</v>
      </c>
      <c r="F17" s="177">
        <f t="shared" si="2"/>
        <v>1</v>
      </c>
      <c r="G17" s="178" t="str">
        <f t="shared" si="3"/>
        <v>OK</v>
      </c>
    </row>
    <row r="18" ht="15.0" customHeight="1">
      <c r="A18" s="175" t="str">
        <f>Geral!G15</f>
        <v>Fase de Projeto</v>
      </c>
      <c r="B18" s="34"/>
      <c r="C18" s="36"/>
      <c r="D18" s="176">
        <f>Geral!J15</f>
        <v>14.62450593</v>
      </c>
      <c r="E18" s="176">
        <f>SUMIF(Cronograma!$D$6:$D$51,A18,Cronograma!$J$6:$J$51)</f>
        <v>14.62450593</v>
      </c>
      <c r="F18" s="177">
        <f t="shared" si="2"/>
        <v>1</v>
      </c>
      <c r="G18" s="178" t="str">
        <f t="shared" si="3"/>
        <v>OK</v>
      </c>
    </row>
    <row r="19" ht="15.0" customHeight="1">
      <c r="A19" s="175" t="str">
        <f>Geral!G16</f>
        <v>Fase de Planejamento</v>
      </c>
      <c r="B19" s="34"/>
      <c r="C19" s="36"/>
      <c r="D19" s="176">
        <f>Geral!J16</f>
        <v>23.3201581</v>
      </c>
      <c r="E19" s="176">
        <f>SUMIF(Cronograma!$D$6:$D$51,A19,Cronograma!$J$6:$J$51)</f>
        <v>23.3201581</v>
      </c>
      <c r="F19" s="177">
        <f t="shared" si="2"/>
        <v>1</v>
      </c>
      <c r="G19" s="178" t="str">
        <f t="shared" si="3"/>
        <v>OK</v>
      </c>
    </row>
    <row r="20" ht="15.0" customHeight="1">
      <c r="A20" s="175" t="str">
        <f>Geral!G17</f>
        <v>Fase de Desenvolvimento</v>
      </c>
      <c r="B20" s="34"/>
      <c r="C20" s="36"/>
      <c r="D20" s="176">
        <f>Geral!J17</f>
        <v>197.6284585</v>
      </c>
      <c r="E20" s="176">
        <f>SUMIF(Cronograma!$D$6:$D$51,A20,Cronograma!$J$6:$J$51)</f>
        <v>197.6284585</v>
      </c>
      <c r="F20" s="177">
        <f t="shared" si="2"/>
        <v>1</v>
      </c>
      <c r="G20" s="178" t="str">
        <f t="shared" si="3"/>
        <v>OK</v>
      </c>
    </row>
    <row r="21" ht="15.0" customHeight="1">
      <c r="A21" s="175" t="str">
        <f>Geral!G18</f>
        <v>Processo de Monitoramento e Controle</v>
      </c>
      <c r="B21" s="34"/>
      <c r="C21" s="36"/>
      <c r="D21" s="176">
        <f>Geral!J18</f>
        <v>48.22134387</v>
      </c>
      <c r="E21" s="176">
        <f>SUMIF(Cronograma!$D$6:$D$51,A21,Cronograma!$J$6:$J$51)</f>
        <v>48.22134387</v>
      </c>
      <c r="F21" s="177">
        <f t="shared" si="2"/>
        <v>1</v>
      </c>
      <c r="G21" s="178" t="str">
        <f t="shared" si="3"/>
        <v>OK</v>
      </c>
    </row>
    <row r="22" ht="15.0" customHeight="1">
      <c r="A22" s="175" t="str">
        <f>Geral!G19</f>
        <v>Fase de Fechamento</v>
      </c>
      <c r="B22" s="34"/>
      <c r="C22" s="36"/>
      <c r="D22" s="176">
        <f>Geral!J19</f>
        <v>15.81027668</v>
      </c>
      <c r="E22" s="176">
        <f>SUMIF(Cronograma!$D$6:$D$51,A22,Cronograma!$J$6:$J$51)</f>
        <v>15.81027668</v>
      </c>
      <c r="F22" s="177">
        <f t="shared" si="2"/>
        <v>1</v>
      </c>
      <c r="G22" s="178" t="str">
        <f t="shared" si="3"/>
        <v>OK</v>
      </c>
    </row>
    <row r="23" ht="15.0" customHeight="1">
      <c r="A23" s="175" t="str">
        <f>Geral!G20</f>
        <v>Processo Controle de mudanças</v>
      </c>
      <c r="B23" s="34"/>
      <c r="C23" s="36"/>
      <c r="D23" s="176">
        <f>Geral!J20</f>
        <v>25.29644269</v>
      </c>
      <c r="E23" s="176">
        <f>SUMIF(Cronograma!$D$6:$D$51,A23,Cronograma!$J$6:$J$51)</f>
        <v>25.29644269</v>
      </c>
      <c r="F23" s="177">
        <f t="shared" si="2"/>
        <v>1</v>
      </c>
      <c r="G23" s="178" t="str">
        <f t="shared" si="3"/>
        <v>OK</v>
      </c>
    </row>
    <row r="24" ht="15.0" customHeight="1">
      <c r="A24" s="110" t="s">
        <v>109</v>
      </c>
      <c r="D24" s="169">
        <f t="shared" ref="D24:E24" si="4">SUM(D16:D23)</f>
        <v>400</v>
      </c>
      <c r="E24" s="169">
        <f t="shared" si="4"/>
        <v>400</v>
      </c>
      <c r="G24" s="110" t="str">
        <f>IF(ABS(E24-Geral!J21)&lt;0.01,"OK","Verificar")</f>
        <v>OK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A16:C16"/>
    <mergeCell ref="A17:C17"/>
    <mergeCell ref="A18:C18"/>
    <mergeCell ref="A19:C19"/>
    <mergeCell ref="A20:C20"/>
    <mergeCell ref="A21:C21"/>
    <mergeCell ref="A22:C22"/>
    <mergeCell ref="A23:C2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2005-01-11T13:43:58Z</dcterms:created>
  <dc:creator>Owner</dc:creator>
</cp:coreProperties>
</file>