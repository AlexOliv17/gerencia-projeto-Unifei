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eral" sheetId="1" state="visible" r:id="rId1"/>
    <sheet name="Atores" sheetId="2" state="visible" r:id="rId2"/>
    <sheet name="UC" sheetId="3" state="visible" r:id="rId3"/>
    <sheet name="Fatores" sheetId="4" state="visible" r:id="rId4"/>
    <sheet name="dadoshistoricos" sheetId="5" state="visible" r:id="rId5"/>
    <sheet name="Premissas" sheetId="6" state="visible" r:id="rId6"/>
    <sheet name="Cronograma" sheetId="7" state="visible" r:id="rId7"/>
    <sheet name="Releases" sheetId="8" state="visible" r:id="rId8"/>
  </sheets>
  <definedNames>
    <definedName name="Atores">Atores!$B$13:$C$17</definedName>
    <definedName name="ITEC">Fatores!$E$22</definedName>
    <definedName name="FCAMB">Fatores!$G$36</definedName>
    <definedName name="CUC">UC!$D$13:$D$39</definedName>
    <definedName name="TotalDiasUteisProjeto">Releases!$E$11</definedName>
    <definedName name="PTA">Atores!$D$10</definedName>
    <definedName name="UC">UC!$A$12:$C$39</definedName>
    <definedName name="PTUC">UC!$D$10</definedName>
    <definedName name="FCTEC">Fatores!$E$22</definedName>
    <definedName name="TotalHorasProjeto">Geral!$J$21</definedName>
    <definedName name="_Toc112831755" localSheetId="2">UC!$B$13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C&quot;00#"/>
    <numFmt numFmtId="165" formatCode="0.0%"/>
    <numFmt numFmtId="166" formatCode="0.0"/>
    <numFmt numFmtId="167" formatCode="dd/mm"/>
  </numFmts>
  <fonts count="27">
    <font>
      <name val="Arial"/>
      <color rgb="FF000000"/>
      <sz val="10"/>
      <scheme val="minor"/>
    </font>
    <font>
      <name val="Arial"/>
      <color theme="1"/>
      <sz val="10"/>
    </font>
    <font>
      <name val="Arial"/>
      <b val="1"/>
      <color theme="1"/>
      <sz val="12"/>
    </font>
    <font/>
    <font>
      <name val="Arial"/>
      <b val="1"/>
      <color theme="1"/>
      <sz val="10"/>
    </font>
    <font>
      <name val="Arial"/>
      <color theme="1"/>
      <sz val="12"/>
    </font>
    <font>
      <name val="Arial"/>
      <color rgb="FF0000FF"/>
      <sz val="10"/>
    </font>
    <font>
      <name val="Arial"/>
      <color rgb="FFFF0000"/>
      <sz val="10"/>
    </font>
    <font>
      <name val="Arial"/>
      <color theme="1"/>
      <sz val="9"/>
    </font>
    <font>
      <name val="Arial"/>
      <color theme="1"/>
      <sz val="10"/>
      <u val="single"/>
    </font>
    <font>
      <name val="Arial"/>
      <color theme="1"/>
      <sz val="10"/>
      <u val="single"/>
    </font>
    <font>
      <name val="Arial"/>
      <b val="1"/>
      <i val="1"/>
      <color theme="1"/>
      <sz val="14"/>
    </font>
    <font>
      <name val="Arial"/>
      <b val="1"/>
      <i val="1"/>
      <color theme="1"/>
      <sz val="12"/>
    </font>
    <font>
      <name val="Arial"/>
      <b val="1"/>
      <color rgb="FFFFFFFF"/>
      <sz val="10"/>
    </font>
    <font>
      <name val="Arial"/>
      <color rgb="FFFFFFFF"/>
      <sz val="10"/>
    </font>
    <font>
      <name val="Arial"/>
      <color rgb="FF008000"/>
      <sz val="10"/>
    </font>
    <font>
      <name val="Arial"/>
      <i val="1"/>
      <color theme="1"/>
      <sz val="9"/>
    </font>
    <font>
      <name val="Arial"/>
      <b val="1"/>
      <color theme="1"/>
      <sz val="14"/>
    </font>
    <font>
      <name val="Arial"/>
      <color theme="1"/>
      <sz val="10"/>
      <u val="single"/>
    </font>
    <font>
      <name val="Arial"/>
      <b val="1"/>
      <color theme="1"/>
      <sz val="9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b val="1"/>
      <color theme="1"/>
      <sz val="8"/>
    </font>
    <font>
      <name val="Arial"/>
      <b val="1"/>
      <color rgb="FFC00000"/>
      <sz val="8"/>
    </font>
    <font>
      <name val="Arial"/>
      <color rgb="FF0000FF"/>
      <sz val="9"/>
    </font>
    <font>
      <name val="Arial"/>
      <b val="1"/>
      <color theme="1"/>
      <sz val="11"/>
    </font>
    <font>
      <name val="Arial"/>
      <color theme="1"/>
      <scheme val="minor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CCFFFF"/>
        <bgColor rgb="FFCCFFFF"/>
      </patternFill>
    </fill>
    <fill>
      <patternFill patternType="solid">
        <fgColor rgb="FF333399"/>
        <bgColor rgb="FF333399"/>
      </patternFill>
    </fill>
    <fill>
      <patternFill patternType="solid">
        <fgColor rgb="FF003366"/>
        <bgColor rgb="FF003366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rgb="FFDDEBF7"/>
        <bgColor rgb="FFDDEBF7"/>
      </patternFill>
    </fill>
  </fills>
  <borders count="87">
    <border/>
    <border>
      <left/>
      <right/>
      <top/>
      <bottom/>
    </border>
    <border>
      <left/>
      <top/>
      <bottom style="double">
        <color rgb="FF000000"/>
      </bottom>
    </border>
    <border>
      <top/>
      <bottom style="double">
        <color rgb="FF000000"/>
      </bottom>
    </border>
    <border>
      <right/>
      <top/>
      <bottom style="double">
        <color rgb="FF000000"/>
      </bottom>
    </border>
    <border>
      <lef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  <bottom style="medium">
        <color rgb="FF000000"/>
      </bottom>
    </border>
    <border>
      <bottom style="medium">
        <color rgb="FF000000"/>
      </bottom>
    </border>
    <border>
      <right/>
      <bottom style="medium">
        <color rgb="FF000000"/>
      </bottom>
    </border>
    <border>
      <left/>
      <top/>
      <bottom/>
    </border>
    <border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top/>
      <bottom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/>
      <right/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/>
      <right/>
      <top style="medium">
        <color rgb="FF000000"/>
      </top>
      <bottom/>
    </border>
    <border>
      <bottom style="double">
        <color rgb="FF000000"/>
      </bottom>
    </border>
  </borders>
  <cellStyleXfs count="1">
    <xf numFmtId="0" fontId="0" fillId="0" borderId="0"/>
  </cellStyleXfs>
  <cellXfs count="232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horizontal="center"/>
    </xf>
    <xf numFmtId="0" fontId="3" fillId="0" borderId="3" pivotButton="0" quotePrefix="0" xfId="0"/>
    <xf numFmtId="0" fontId="3" fillId="0" borderId="4" pivotButton="0" quotePrefix="0" xfId="0"/>
    <xf numFmtId="49" fontId="2" fillId="2" borderId="5" applyAlignment="1" pivotButton="0" quotePrefix="0" xfId="0">
      <alignment horizontal="center" vertical="center" wrapText="1"/>
    </xf>
    <xf numFmtId="0" fontId="2" fillId="2" borderId="1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0" pivotButton="0" quotePrefix="0" xfId="0"/>
    <xf numFmtId="0" fontId="2" fillId="2" borderId="11" applyAlignment="1" pivotButton="0" quotePrefix="0" xfId="0">
      <alignment horizontal="left" vertical="center"/>
    </xf>
    <xf numFmtId="0" fontId="3" fillId="0" borderId="12" pivotButton="0" quotePrefix="0" xfId="0"/>
    <xf numFmtId="0" fontId="4" fillId="2" borderId="13" applyAlignment="1" pivotButton="0" quotePrefix="0" xfId="0">
      <alignment horizontal="center"/>
    </xf>
    <xf numFmtId="0" fontId="5" fillId="2" borderId="11" applyAlignment="1" pivotButton="0" quotePrefix="0" xfId="0">
      <alignment horizontal="left" vertical="center"/>
    </xf>
    <xf numFmtId="0" fontId="4" fillId="2" borderId="14" applyAlignment="1" pivotButton="0" quotePrefix="0" xfId="0">
      <alignment horizontal="center"/>
    </xf>
    <xf numFmtId="0" fontId="3" fillId="0" borderId="15" pivotButton="0" quotePrefix="0" xfId="0"/>
    <xf numFmtId="0" fontId="4" fillId="2" borderId="16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2" borderId="11" applyAlignment="1" pivotButton="0" quotePrefix="0" xfId="0">
      <alignment horizontal="left" vertical="center"/>
    </xf>
    <xf numFmtId="0" fontId="1" fillId="2" borderId="17" applyAlignment="1" pivotButton="0" quotePrefix="0" xfId="0">
      <alignment horizontal="center"/>
    </xf>
    <xf numFmtId="0" fontId="1" fillId="2" borderId="11" applyAlignment="1" pivotButton="0" quotePrefix="0" xfId="0">
      <alignment horizontal="left" vertical="center"/>
    </xf>
    <xf numFmtId="0" fontId="1" fillId="2" borderId="18" applyAlignment="1" pivotButton="0" quotePrefix="0" xfId="0">
      <alignment horizontal="center"/>
    </xf>
    <xf numFmtId="0" fontId="4" fillId="2" borderId="11" applyAlignment="1" pivotButton="0" quotePrefix="0" xfId="0">
      <alignment horizontal="left"/>
    </xf>
    <xf numFmtId="14" fontId="1" fillId="2" borderId="1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4" fillId="2" borderId="13" pivotButton="0" quotePrefix="0" xfId="0"/>
    <xf numFmtId="0" fontId="6" fillId="2" borderId="1" pivotButton="0" quotePrefix="0" xfId="0"/>
    <xf numFmtId="0" fontId="4" fillId="2" borderId="16" pivotButton="0" quotePrefix="0" xfId="0"/>
    <xf numFmtId="0" fontId="7" fillId="2" borderId="11" pivotButton="0" quotePrefix="0" xfId="0"/>
    <xf numFmtId="0" fontId="4" fillId="3" borderId="19" applyAlignment="1" pivotButton="0" quotePrefix="0" xfId="0">
      <alignment horizontal="left"/>
    </xf>
    <xf numFmtId="0" fontId="7" fillId="2" borderId="1" pivotButton="0" quotePrefix="0" xfId="0"/>
    <xf numFmtId="0" fontId="3" fillId="0" borderId="20" pivotButton="0" quotePrefix="0" xfId="0"/>
    <xf numFmtId="0" fontId="1" fillId="2" borderId="21" applyAlignment="1" pivotButton="0" quotePrefix="0" xfId="0">
      <alignment horizontal="center"/>
    </xf>
    <xf numFmtId="0" fontId="3" fillId="0" borderId="22" pivotButton="0" quotePrefix="0" xfId="0"/>
    <xf numFmtId="0" fontId="1" fillId="2" borderId="1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4" fillId="3" borderId="24" applyAlignment="1" pivotButton="0" quotePrefix="0" xfId="0">
      <alignment horizontal="center"/>
    </xf>
    <xf numFmtId="0" fontId="4" fillId="4" borderId="25" applyAlignment="1" pivotButton="0" quotePrefix="0" xfId="0">
      <alignment horizontal="center"/>
    </xf>
    <xf numFmtId="0" fontId="1" fillId="2" borderId="26" applyAlignment="1" pivotButton="0" quotePrefix="0" xfId="0">
      <alignment horizontal="center"/>
    </xf>
    <xf numFmtId="0" fontId="3" fillId="0" borderId="27" pivotButton="0" quotePrefix="0" xfId="0"/>
    <xf numFmtId="0" fontId="3" fillId="0" borderId="29" pivotButton="0" quotePrefix="0" xfId="0"/>
    <xf numFmtId="0" fontId="1" fillId="2" borderId="28" applyAlignment="1" pivotButton="0" quotePrefix="0" xfId="0">
      <alignment horizontal="center"/>
    </xf>
    <xf numFmtId="0" fontId="4" fillId="4" borderId="25" pivotButton="0" quotePrefix="0" xfId="0"/>
    <xf numFmtId="0" fontId="1" fillId="2" borderId="25" applyAlignment="1" pivotButton="0" quotePrefix="0" xfId="0">
      <alignment horizontal="center"/>
    </xf>
    <xf numFmtId="0" fontId="4" fillId="3" borderId="24" applyAlignment="1" pivotButton="0" quotePrefix="0" xfId="0">
      <alignment horizontal="left"/>
    </xf>
    <xf numFmtId="0" fontId="4" fillId="2" borderId="1" pivotButton="0" quotePrefix="0" xfId="0"/>
    <xf numFmtId="0" fontId="3" fillId="0" borderId="30" pivotButton="0" quotePrefix="0" xfId="0"/>
    <xf numFmtId="0" fontId="1" fillId="2" borderId="31" applyAlignment="1" pivotButton="0" quotePrefix="0" xfId="0">
      <alignment horizontal="center"/>
    </xf>
    <xf numFmtId="0" fontId="4" fillId="3" borderId="16" applyAlignment="1" pivotButton="0" quotePrefix="0" xfId="0">
      <alignment horizontal="center"/>
    </xf>
    <xf numFmtId="0" fontId="1" fillId="2" borderId="32" applyAlignment="1" pivotButton="0" quotePrefix="0" xfId="0">
      <alignment horizontal="center"/>
    </xf>
    <xf numFmtId="0" fontId="1" fillId="2" borderId="25" pivotButton="0" quotePrefix="0" xfId="0"/>
    <xf numFmtId="0" fontId="1" fillId="2" borderId="33" applyAlignment="1" pivotButton="0" quotePrefix="0" xfId="0">
      <alignment horizontal="center"/>
    </xf>
    <xf numFmtId="0" fontId="1" fillId="2" borderId="34" applyAlignment="1" pivotButton="0" quotePrefix="0" xfId="0">
      <alignment horizontal="left"/>
    </xf>
    <xf numFmtId="0" fontId="3" fillId="0" borderId="35" pivotButton="0" quotePrefix="0" xfId="0"/>
    <xf numFmtId="0" fontId="3" fillId="0" borderId="36" pivotButton="0" quotePrefix="0" xfId="0"/>
    <xf numFmtId="0" fontId="8" fillId="2" borderId="1" pivotButton="0" quotePrefix="0" xfId="0"/>
    <xf numFmtId="0" fontId="4" fillId="2" borderId="37" applyAlignment="1" pivotButton="0" quotePrefix="0" xfId="0">
      <alignment horizontal="center"/>
    </xf>
    <xf numFmtId="0" fontId="4" fillId="2" borderId="38" applyAlignment="1" pivotButton="0" quotePrefix="0" xfId="0">
      <alignment horizontal="center"/>
    </xf>
    <xf numFmtId="0" fontId="1" fillId="2" borderId="11" applyAlignment="1" pivotButton="0" quotePrefix="0" xfId="0">
      <alignment horizontal="center"/>
    </xf>
    <xf numFmtId="0" fontId="1" fillId="2" borderId="39" applyAlignment="1" pivotButton="0" quotePrefix="0" xfId="0">
      <alignment horizontal="center"/>
    </xf>
    <xf numFmtId="0" fontId="4" fillId="2" borderId="40" pivotButton="0" quotePrefix="0" xfId="0"/>
    <xf numFmtId="0" fontId="4" fillId="2" borderId="41" pivotButton="0" quotePrefix="0" xfId="0"/>
    <xf numFmtId="0" fontId="4" fillId="2" borderId="41" applyAlignment="1" pivotButton="0" quotePrefix="0" xfId="0">
      <alignment horizontal="left"/>
    </xf>
    <xf numFmtId="2" fontId="1" fillId="2" borderId="42" applyAlignment="1" pivotButton="0" quotePrefix="0" xfId="0">
      <alignment horizontal="center"/>
    </xf>
    <xf numFmtId="0" fontId="4" fillId="2" borderId="43" pivotButton="0" quotePrefix="0" xfId="0"/>
    <xf numFmtId="0" fontId="1" fillId="2" borderId="44" applyAlignment="1" pivotButton="0" quotePrefix="0" xfId="0">
      <alignment horizontal="center"/>
    </xf>
    <xf numFmtId="164" fontId="1" fillId="2" borderId="28" pivotButton="0" quotePrefix="0" xfId="0"/>
    <xf numFmtId="165" fontId="1" fillId="0" borderId="45" applyAlignment="1" pivotButton="0" quotePrefix="0" xfId="0">
      <alignment horizontal="center"/>
    </xf>
    <xf numFmtId="0" fontId="8" fillId="2" borderId="28" applyAlignment="1" pivotButton="0" quotePrefix="0" xfId="0">
      <alignment vertical="center" wrapText="1"/>
    </xf>
    <xf numFmtId="0" fontId="1" fillId="2" borderId="46" applyAlignment="1" pivotButton="0" quotePrefix="0" xfId="0">
      <alignment horizontal="left"/>
    </xf>
    <xf numFmtId="0" fontId="1" fillId="2" borderId="28" applyAlignment="1" pivotButton="0" quotePrefix="0" xfId="0">
      <alignment vertical="center" wrapText="1"/>
    </xf>
    <xf numFmtId="0" fontId="3" fillId="0" borderId="47" pivotButton="0" quotePrefix="0" xfId="0"/>
    <xf numFmtId="0" fontId="1" fillId="2" borderId="48" applyAlignment="1" pivotButton="0" quotePrefix="0" xfId="0">
      <alignment horizontal="center"/>
    </xf>
    <xf numFmtId="0" fontId="3" fillId="0" borderId="49" pivotButton="0" quotePrefix="0" xfId="0"/>
    <xf numFmtId="166" fontId="1" fillId="2" borderId="48" applyAlignment="1" pivotButton="0" quotePrefix="0" xfId="0">
      <alignment horizontal="center"/>
    </xf>
    <xf numFmtId="0" fontId="4" fillId="2" borderId="50" pivotButton="0" quotePrefix="0" xfId="0"/>
    <xf numFmtId="0" fontId="1" fillId="2" borderId="51" applyAlignment="1" pivotButton="0" quotePrefix="0" xfId="0">
      <alignment horizontal="left"/>
    </xf>
    <xf numFmtId="0" fontId="3" fillId="0" borderId="52" pivotButton="0" quotePrefix="0" xfId="0"/>
    <xf numFmtId="0" fontId="3" fillId="0" borderId="53" pivotButton="0" quotePrefix="0" xfId="0"/>
    <xf numFmtId="2" fontId="1" fillId="2" borderId="54" applyAlignment="1" pivotButton="0" quotePrefix="0" xfId="0">
      <alignment horizontal="center"/>
    </xf>
    <xf numFmtId="165" fontId="1" fillId="0" borderId="55" applyAlignment="1" pivotButton="0" quotePrefix="0" xfId="0">
      <alignment horizontal="center"/>
    </xf>
    <xf numFmtId="0" fontId="1" fillId="2" borderId="56" applyAlignment="1" pivotButton="0" quotePrefix="0" xfId="0">
      <alignment horizontal="left"/>
    </xf>
    <xf numFmtId="0" fontId="3" fillId="0" borderId="57" pivotButton="0" quotePrefix="0" xfId="0"/>
    <xf numFmtId="0" fontId="3" fillId="0" borderId="58" pivotButton="0" quotePrefix="0" xfId="0"/>
    <xf numFmtId="10" fontId="1" fillId="0" borderId="55" applyAlignment="1" pivotButton="0" quotePrefix="0" xfId="0">
      <alignment horizontal="center"/>
    </xf>
    <xf numFmtId="0" fontId="4" fillId="2" borderId="25" pivotButton="0" quotePrefix="0" xfId="0"/>
    <xf numFmtId="0" fontId="1" fillId="2" borderId="11" applyAlignment="1" pivotButton="0" quotePrefix="0" xfId="0">
      <alignment horizontal="left"/>
    </xf>
    <xf numFmtId="0" fontId="1" fillId="2" borderId="59" applyAlignment="1" pivotButton="0" quotePrefix="0" xfId="0">
      <alignment horizontal="left"/>
    </xf>
    <xf numFmtId="0" fontId="1" fillId="2" borderId="28" pivotButton="0" quotePrefix="0" xfId="0"/>
    <xf numFmtId="0" fontId="4" fillId="2" borderId="19" applyAlignment="1" pivotButton="0" quotePrefix="0" xfId="0">
      <alignment horizontal="right"/>
    </xf>
    <xf numFmtId="0" fontId="9" fillId="2" borderId="1" pivotButton="0" quotePrefix="0" xfId="0"/>
    <xf numFmtId="0" fontId="4" fillId="2" borderId="60" pivotButton="0" quotePrefix="0" xfId="0"/>
    <xf numFmtId="0" fontId="4" fillId="2" borderId="46" applyAlignment="1" pivotButton="0" quotePrefix="0" xfId="0">
      <alignment horizontal="center"/>
    </xf>
    <xf numFmtId="166" fontId="4" fillId="2" borderId="61" applyAlignment="1" pivotButton="0" quotePrefix="0" xfId="0">
      <alignment horizontal="center"/>
    </xf>
    <xf numFmtId="0" fontId="4" fillId="2" borderId="33" applyAlignment="1" pivotButton="0" quotePrefix="0" xfId="0">
      <alignment horizontal="center"/>
    </xf>
    <xf numFmtId="165" fontId="10" fillId="2" borderId="62" applyAlignment="1" pivotButton="0" quotePrefix="0" xfId="0">
      <alignment horizontal="center"/>
    </xf>
    <xf numFmtId="0" fontId="4" fillId="2" borderId="25" applyAlignment="1" pivotButton="0" quotePrefix="0" xfId="0">
      <alignment horizontal="center"/>
    </xf>
    <xf numFmtId="0" fontId="4" fillId="2" borderId="63" applyAlignment="1" pivotButton="0" quotePrefix="0" xfId="0">
      <alignment horizontal="center"/>
    </xf>
    <xf numFmtId="0" fontId="1" fillId="2" borderId="11" applyAlignment="1" pivotButton="0" quotePrefix="0" xfId="0">
      <alignment horizontal="left" wrapText="1"/>
    </xf>
    <xf numFmtId="0" fontId="4" fillId="2" borderId="64" pivotButton="0" quotePrefix="0" xfId="0"/>
    <xf numFmtId="0" fontId="3" fillId="0" borderId="65" pivotButton="0" quotePrefix="0" xfId="0"/>
    <xf numFmtId="0" fontId="1" fillId="3" borderId="66" pivotButton="0" quotePrefix="0" xfId="0"/>
    <xf numFmtId="0" fontId="4" fillId="2" borderId="67" applyAlignment="1" pivotButton="0" quotePrefix="0" xfId="0">
      <alignment horizontal="center"/>
    </xf>
    <xf numFmtId="0" fontId="1" fillId="3" borderId="68" pivotButton="0" quotePrefix="0" xfId="0"/>
    <xf numFmtId="0" fontId="4" fillId="2" borderId="64" applyAlignment="1" pivotButton="0" quotePrefix="0" xfId="0">
      <alignment horizontal="center"/>
    </xf>
    <xf numFmtId="0" fontId="4" fillId="4" borderId="28" applyAlignment="1" pivotButton="0" quotePrefix="0" xfId="0">
      <alignment horizontal="center"/>
    </xf>
    <xf numFmtId="0" fontId="4" fillId="4" borderId="69" applyAlignment="1" pivotButton="0" quotePrefix="0" xfId="0">
      <alignment horizontal="left"/>
    </xf>
    <xf numFmtId="0" fontId="4" fillId="0" borderId="0" pivotButton="0" quotePrefix="0" xfId="0"/>
    <xf numFmtId="0" fontId="1" fillId="2" borderId="19" applyAlignment="1" pivotButton="0" quotePrefix="0" xfId="0">
      <alignment horizontal="left"/>
    </xf>
    <xf numFmtId="0" fontId="8" fillId="0" borderId="0" pivotButton="0" quotePrefix="0" xfId="0"/>
    <xf numFmtId="0" fontId="11" fillId="2" borderId="2" applyAlignment="1" pivotButton="0" quotePrefix="0" xfId="0">
      <alignment horizontal="center"/>
    </xf>
    <xf numFmtId="0" fontId="12" fillId="2" borderId="1" pivotButton="0" quotePrefix="0" xfId="0"/>
    <xf numFmtId="0" fontId="13" fillId="5" borderId="70" pivotButton="0" quotePrefix="0" xfId="0"/>
    <xf numFmtId="0" fontId="13" fillId="5" borderId="71" pivotButton="0" quotePrefix="0" xfId="0"/>
    <xf numFmtId="0" fontId="13" fillId="5" borderId="72" pivotButton="0" quotePrefix="0" xfId="0"/>
    <xf numFmtId="0" fontId="13" fillId="5" borderId="73" pivotButton="0" quotePrefix="0" xfId="0"/>
    <xf numFmtId="0" fontId="1" fillId="2" borderId="17" pivotButton="0" quotePrefix="0" xfId="0"/>
    <xf numFmtId="0" fontId="1" fillId="2" borderId="42" applyAlignment="1" pivotButton="0" quotePrefix="0" xfId="0">
      <alignment horizontal="center"/>
    </xf>
    <xf numFmtId="166" fontId="1" fillId="2" borderId="21" applyAlignment="1" pivotButton="0" quotePrefix="0" xfId="0">
      <alignment horizontal="center"/>
    </xf>
    <xf numFmtId="0" fontId="1" fillId="2" borderId="74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1" fillId="2" borderId="26" pivotButton="0" quotePrefix="0" xfId="0"/>
    <xf numFmtId="166" fontId="1" fillId="2" borderId="39" applyAlignment="1" pivotButton="0" quotePrefix="0" xfId="0">
      <alignment horizontal="center"/>
    </xf>
    <xf numFmtId="0" fontId="1" fillId="2" borderId="32" pivotButton="0" quotePrefix="0" xfId="0"/>
    <xf numFmtId="0" fontId="1" fillId="2" borderId="61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1" fillId="2" borderId="16" applyAlignment="1" pivotButton="0" quotePrefix="0" xfId="0">
      <alignment horizontal="center"/>
    </xf>
    <xf numFmtId="0" fontId="13" fillId="6" borderId="75" applyAlignment="1" pivotButton="0" quotePrefix="0" xfId="0">
      <alignment horizontal="center"/>
    </xf>
    <xf numFmtId="166" fontId="13" fillId="5" borderId="37" applyAlignment="1" pivotButton="0" quotePrefix="0" xfId="0">
      <alignment horizontal="center"/>
    </xf>
    <xf numFmtId="0" fontId="13" fillId="5" borderId="76" pivotButton="0" quotePrefix="0" xfId="0"/>
    <xf numFmtId="0" fontId="14" fillId="5" borderId="76" pivotButton="0" quotePrefix="0" xfId="0"/>
    <xf numFmtId="0" fontId="13" fillId="5" borderId="37" applyAlignment="1" pivotButton="0" quotePrefix="0" xfId="0">
      <alignment horizontal="center"/>
    </xf>
    <xf numFmtId="165" fontId="13" fillId="5" borderId="37" applyAlignment="1" pivotButton="0" quotePrefix="0" xfId="0">
      <alignment horizontal="center"/>
    </xf>
    <xf numFmtId="165" fontId="4" fillId="2" borderId="1" applyAlignment="1" pivotButton="0" quotePrefix="0" xfId="0">
      <alignment horizontal="center"/>
    </xf>
    <xf numFmtId="0" fontId="1" fillId="0" borderId="17" pivotButton="0" quotePrefix="0" xfId="0"/>
    <xf numFmtId="166" fontId="15" fillId="0" borderId="25" applyAlignment="1" pivotButton="0" quotePrefix="0" xfId="0">
      <alignment horizontal="center"/>
    </xf>
    <xf numFmtId="166" fontId="1" fillId="0" borderId="25" applyAlignment="1" pivotButton="0" quotePrefix="0" xfId="0">
      <alignment horizontal="center"/>
    </xf>
    <xf numFmtId="166" fontId="15" fillId="0" borderId="19" applyAlignment="1" pivotButton="0" quotePrefix="0" xfId="0">
      <alignment horizontal="center"/>
    </xf>
    <xf numFmtId="166" fontId="1" fillId="0" borderId="21" applyAlignment="1" pivotButton="0" quotePrefix="0" xfId="0">
      <alignment horizontal="center"/>
    </xf>
    <xf numFmtId="165" fontId="1" fillId="0" borderId="0" pivotButton="0" quotePrefix="0" xfId="0"/>
    <xf numFmtId="166" fontId="1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" fillId="0" borderId="25" pivotButton="0" quotePrefix="0" xfId="0"/>
    <xf numFmtId="166" fontId="6" fillId="0" borderId="25" pivotButton="0" quotePrefix="0" xfId="0"/>
    <xf numFmtId="9" fontId="6" fillId="0" borderId="25" pivotButton="0" quotePrefix="0" xfId="0"/>
    <xf numFmtId="9" fontId="1" fillId="0" borderId="25" pivotButton="0" quotePrefix="0" xfId="0"/>
    <xf numFmtId="14" fontId="6" fillId="0" borderId="25" pivotButton="0" quotePrefix="0" xfId="0"/>
    <xf numFmtId="0" fontId="4" fillId="3" borderId="1" pivotButton="0" quotePrefix="0" xfId="0"/>
    <xf numFmtId="14" fontId="1" fillId="0" borderId="25" pivotButton="0" quotePrefix="0" xfId="0"/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right" vertical="center"/>
    </xf>
    <xf numFmtId="0" fontId="20" fillId="7" borderId="25" applyAlignment="1" pivotButton="0" quotePrefix="0" xfId="0">
      <alignment horizontal="center" vertical="center"/>
    </xf>
    <xf numFmtId="0" fontId="21" fillId="8" borderId="19" applyAlignment="1" pivotButton="0" quotePrefix="0" xfId="0">
      <alignment horizontal="center" vertical="center"/>
    </xf>
    <xf numFmtId="0" fontId="20" fillId="9" borderId="19" applyAlignment="1" pivotButton="0" quotePrefix="0" xfId="0">
      <alignment horizontal="center" vertical="center"/>
    </xf>
    <xf numFmtId="0" fontId="22" fillId="0" borderId="0" pivotButton="0" quotePrefix="0" xfId="0"/>
    <xf numFmtId="0" fontId="23" fillId="0" borderId="0" applyAlignment="1" pivotButton="0" quotePrefix="0" xfId="0">
      <alignment horizontal="center" shrinkToFit="1"/>
    </xf>
    <xf numFmtId="0" fontId="19" fillId="3" borderId="25" applyAlignment="1" pivotButton="0" quotePrefix="0" xfId="0">
      <alignment horizontal="center" vertical="center" wrapText="1"/>
    </xf>
    <xf numFmtId="0" fontId="8" fillId="0" borderId="25" applyAlignment="1" pivotButton="0" quotePrefix="0" xfId="0">
      <alignment horizontal="center" vertical="center" wrapText="1"/>
    </xf>
    <xf numFmtId="14" fontId="8" fillId="0" borderId="25" applyAlignment="1" pivotButton="0" quotePrefix="0" xfId="0">
      <alignment horizontal="center" vertical="center" wrapText="1"/>
    </xf>
    <xf numFmtId="14" fontId="24" fillId="0" borderId="25" applyAlignment="1" pivotButton="0" quotePrefix="0" xfId="0">
      <alignment horizontal="center" vertical="center" wrapText="1"/>
    </xf>
    <xf numFmtId="166" fontId="8" fillId="0" borderId="25" applyAlignment="1" pivotButton="0" quotePrefix="0" xfId="0">
      <alignment horizontal="center" vertical="center" wrapText="1"/>
    </xf>
    <xf numFmtId="0" fontId="24" fillId="0" borderId="25" applyAlignment="1" pivotButton="0" quotePrefix="0" xfId="0">
      <alignment horizontal="center" vertical="center" wrapText="1"/>
    </xf>
    <xf numFmtId="0" fontId="8" fillId="0" borderId="25" applyAlignment="1" pivotButton="0" quotePrefix="0" xfId="0">
      <alignment horizontal="left" vertical="center" wrapText="1"/>
    </xf>
    <xf numFmtId="166" fontId="4" fillId="0" borderId="0" pivotButton="0" quotePrefix="0" xfId="0"/>
    <xf numFmtId="0" fontId="19" fillId="3" borderId="25" applyAlignment="1" pivotButton="0" quotePrefix="0" xfId="0">
      <alignment horizontal="center" vertical="center"/>
    </xf>
    <xf numFmtId="0" fontId="25" fillId="0" borderId="0" pivotButton="0" quotePrefix="0" xfId="0"/>
    <xf numFmtId="0" fontId="19" fillId="3" borderId="25" applyAlignment="1" pivotButton="0" quotePrefix="0" xfId="0">
      <alignment horizontal="center" wrapText="1"/>
    </xf>
    <xf numFmtId="0" fontId="1" fillId="3" borderId="1" pivotButton="0" quotePrefix="0" xfId="0"/>
    <xf numFmtId="167" fontId="22" fillId="3" borderId="25" applyAlignment="1" pivotButton="0" quotePrefix="0" xfId="0">
      <alignment horizontal="center" vertical="center" textRotation="90"/>
    </xf>
    <xf numFmtId="0" fontId="8" fillId="0" borderId="19" pivotButton="0" quotePrefix="0" xfId="0"/>
    <xf numFmtId="166" fontId="8" fillId="0" borderId="25" pivotButton="0" quotePrefix="0" xfId="0"/>
    <xf numFmtId="9" fontId="8" fillId="0" borderId="25" pivotButton="0" quotePrefix="0" xfId="0"/>
    <xf numFmtId="0" fontId="8" fillId="0" borderId="25" pivotButton="0" quotePrefix="0" xfId="0"/>
    <xf numFmtId="0" fontId="4" fillId="10" borderId="1" pivotButton="0" quotePrefix="0" xfId="0"/>
    <xf numFmtId="0" fontId="1" fillId="10" borderId="1" pivotButton="0" quotePrefix="0" xfId="0"/>
    <xf numFmtId="0" fontId="1" fillId="10" borderId="1" applyAlignment="1" pivotButton="0" quotePrefix="0" xfId="0">
      <alignment horizontal="center" vertical="center"/>
    </xf>
    <xf numFmtId="0" fontId="8" fillId="0" borderId="25" applyAlignment="1" pivotButton="0" quotePrefix="0" xfId="0">
      <alignment vertical="center" wrapText="1"/>
    </xf>
    <xf numFmtId="14" fontId="24" fillId="0" borderId="25" pivotButton="0" quotePrefix="0" xfId="0"/>
    <xf numFmtId="165" fontId="24" fillId="0" borderId="25" pivotButton="0" quotePrefix="0" xfId="0"/>
    <xf numFmtId="0" fontId="24" fillId="0" borderId="25" applyAlignment="1" pivotButton="0" quotePrefix="0" xfId="0">
      <alignment horizontal="center" vertical="center"/>
    </xf>
    <xf numFmtId="0" fontId="26" fillId="0" borderId="0" pivotButton="0" quotePrefix="0" xfId="0"/>
    <xf numFmtId="165" fontId="8" fillId="0" borderId="25" pivotButton="0" quotePrefix="0" xfId="0"/>
    <xf numFmtId="0" fontId="8" fillId="0" borderId="25" applyAlignment="1" pivotButton="0" quotePrefix="0" xfId="0">
      <alignment vertical="center" wrapText="1"/>
    </xf>
    <xf numFmtId="0" fontId="0" fillId="0" borderId="0" pivotButton="0" quotePrefix="0" xfId="0"/>
    <xf numFmtId="49" fontId="2" fillId="2" borderId="77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9" pivotButton="0" quotePrefix="0" xfId="0"/>
    <xf numFmtId="0" fontId="2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/>
    </xf>
    <xf numFmtId="0" fontId="4" fillId="3" borderId="37" applyAlignment="1" pivotButton="0" quotePrefix="0" xfId="0">
      <alignment horizontal="center"/>
    </xf>
    <xf numFmtId="0" fontId="0" fillId="0" borderId="27" pivotButton="0" quotePrefix="0" xfId="0"/>
    <xf numFmtId="0" fontId="0" fillId="0" borderId="29" pivotButton="0" quotePrefix="0" xfId="0"/>
    <xf numFmtId="0" fontId="4" fillId="3" borderId="13" applyAlignment="1" pivotButton="0" quotePrefix="0" xfId="0">
      <alignment horizontal="left"/>
    </xf>
    <xf numFmtId="0" fontId="0" fillId="0" borderId="30" pivotButton="0" quotePrefix="0" xfId="0"/>
    <xf numFmtId="0" fontId="1" fillId="2" borderId="17" applyAlignment="1" pivotButton="0" quotePrefix="0" xfId="0">
      <alignment horizontal="left"/>
    </xf>
    <xf numFmtId="0" fontId="0" fillId="0" borderId="35" pivotButton="0" quotePrefix="0" xfId="0"/>
    <xf numFmtId="0" fontId="0" fillId="0" borderId="36" pivotButton="0" quotePrefix="0" xfId="0"/>
    <xf numFmtId="0" fontId="1" fillId="2" borderId="32" applyAlignment="1" pivotButton="0" quotePrefix="0" xfId="0">
      <alignment horizontal="left"/>
    </xf>
    <xf numFmtId="0" fontId="0" fillId="0" borderId="47" pivotButton="0" quotePrefix="0" xfId="0"/>
    <xf numFmtId="0" fontId="0" fillId="0" borderId="49" pivotButton="0" quotePrefix="0" xfId="0"/>
    <xf numFmtId="0" fontId="1" fillId="2" borderId="23" applyAlignment="1" pivotButton="0" quotePrefix="0" xfId="0">
      <alignment horizontal="left"/>
    </xf>
    <xf numFmtId="0" fontId="0" fillId="0" borderId="79" pivotButton="0" quotePrefix="0" xfId="0"/>
    <xf numFmtId="0" fontId="0" fillId="0" borderId="80" pivotButton="0" quotePrefix="0" xfId="0"/>
    <xf numFmtId="0" fontId="1" fillId="2" borderId="85" applyAlignment="1" pivotButton="0" quotePrefix="0" xfId="0">
      <alignment horizontal="left"/>
    </xf>
    <xf numFmtId="0" fontId="0" fillId="0" borderId="82" pivotButton="0" quotePrefix="0" xfId="0"/>
    <xf numFmtId="0" fontId="1" fillId="2" borderId="1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0" fillId="0" borderId="20" pivotButton="0" quotePrefix="0" xfId="0"/>
    <xf numFmtId="0" fontId="0" fillId="0" borderId="22" pivotButton="0" quotePrefix="0" xfId="0"/>
    <xf numFmtId="0" fontId="4" fillId="2" borderId="32" applyAlignment="1" pivotButton="0" quotePrefix="0" xfId="0">
      <alignment horizontal="center"/>
    </xf>
    <xf numFmtId="0" fontId="1" fillId="2" borderId="1" applyAlignment="1" pivotButton="0" quotePrefix="0" xfId="0">
      <alignment horizontal="left" wrapText="1"/>
    </xf>
    <xf numFmtId="0" fontId="2" fillId="2" borderId="60" applyAlignment="1" pivotButton="0" quotePrefix="0" xfId="0">
      <alignment horizontal="center"/>
    </xf>
    <xf numFmtId="0" fontId="0" fillId="0" borderId="86" pivotButton="0" quotePrefix="0" xfId="0"/>
    <xf numFmtId="0" fontId="16" fillId="2" borderId="1" pivotButton="0" quotePrefix="0" xfId="0"/>
    <xf numFmtId="0" fontId="4" fillId="3" borderId="25" applyAlignment="1" pivotButton="0" quotePrefix="0" xfId="0">
      <alignment horizontal="left"/>
    </xf>
    <xf numFmtId="0" fontId="4" fillId="2" borderId="25" applyAlignment="1" pivotButton="0" quotePrefix="0" xfId="0">
      <alignment horizontal="right"/>
    </xf>
    <xf numFmtId="0" fontId="4" fillId="3" borderId="74" applyAlignment="1" pivotButton="0" quotePrefix="0" xfId="0">
      <alignment horizontal="left"/>
    </xf>
    <xf numFmtId="0" fontId="4" fillId="4" borderId="28" applyAlignment="1" pivotButton="0" quotePrefix="0" xfId="0">
      <alignment horizontal="left"/>
    </xf>
    <xf numFmtId="0" fontId="1" fillId="2" borderId="25" applyAlignment="1" pivotButton="0" quotePrefix="0" xfId="0">
      <alignment horizontal="left"/>
    </xf>
    <xf numFmtId="0" fontId="11" fillId="2" borderId="60" applyAlignment="1" pivotButton="0" quotePrefix="0" xfId="0">
      <alignment horizontal="center"/>
    </xf>
    <xf numFmtId="0" fontId="13" fillId="6" borderId="38" applyAlignment="1" pivotButton="0" quotePrefix="0" xfId="0">
      <alignment horizontal="center"/>
    </xf>
    <xf numFmtId="0" fontId="21" fillId="8" borderId="25" applyAlignment="1" pivotButton="0" quotePrefix="0" xfId="0">
      <alignment horizontal="center" vertical="center"/>
    </xf>
    <xf numFmtId="0" fontId="20" fillId="9" borderId="25" applyAlignment="1" pivotButton="0" quotePrefix="0" xfId="0">
      <alignment horizontal="center" vertical="center"/>
    </xf>
  </cellXfs>
  <cellStyles count="1">
    <cellStyle name="Normal" xfId="0" builtinId="0"/>
  </cellStyles>
  <dxfs count="6">
    <dxf>
      <font>
        <b val="1"/>
        <color rgb="FFFFFFFF"/>
      </font>
      <fill>
        <patternFill patternType="solid">
          <fgColor rgb="FF00B050"/>
          <bgColor rgb="FF00B050"/>
        </patternFill>
      </fill>
      <border/>
    </dxf>
    <dxf>
      <font>
        <b val="1"/>
        <color rgb="FFFFFFFF"/>
      </font>
      <fill>
        <patternFill patternType="solid">
          <fgColor rgb="FFFF0000"/>
          <bgColor rgb="FFFF0000"/>
        </patternFill>
      </fill>
      <border/>
    </dxf>
    <dxf>
      <font>
        <b val="1"/>
        <color rgb="FF000000"/>
      </font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None</author>
  </authors>
  <commentList>
    <comment ref="B7" authorId="0" shapeId="0">
      <text>
        <t>======
ID#doco.xAQO9Ddw3p3PqM3rU6gwog
Ator Simples    (2026-10-20 22:45:10)
Representa um outro sistema com Interface definida de Programas.</t>
      </text>
    </comment>
    <comment ref="B8" authorId="0" shapeId="0">
      <text>
        <t>======
ID#doco.GKL7QyADbU2_ySqlr0FauA
Ator Médio    (2026-10-20 22:45:10)
Representa um outro sistema que  interage através de protocolos ou quando há interação humana através de terminal.</t>
      </text>
    </comment>
    <comment ref="B9" authorId="0" shapeId="0">
      <text>
        <t>======
ID#doco.9uEwVXsFscQ80DErI1UTEQ
Ator Complexo    (2026-10-20 22:45:10)
É uma pessoa que interage através de Interface
Gráfica ou página Web.</t>
      </text>
    </comment>
    <comment ref="B13" authorId="0" shapeId="0">
      <text>
        <t>======
ID#doco.WnApP_iy5UeNArFuSroXzg
Unknown Author    (2026-10-20 22:45:10)
Os atores podem ser os usuários que interagem com o sistema. Pode ser um hardware ou até mesmo outro software.
EXEMPLO
Em um software para educação a distância podemos ter os seguintes Atores:
1) Professor =  Complexo
2) Aluno = Complexo
3) Secretária= Complexo
4) Sistema Financeiro =  Simples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B7" authorId="0" shapeId="0">
      <text>
        <t>======
ID#doco.n55iOXXIWxwLYodbGv3f-g
UC Simples    (2026-10-20 22:45:10)
Tem até 3 Entidades</t>
      </text>
    </comment>
    <comment ref="B8" authorId="0" shapeId="0">
      <text>
        <t>======
ID#doco.O3-KyHPpP-CoXqOCUADQtA
UC Médio    (2026-10-20 22:45:10)
Tem de 3 a 5 Entidades.</t>
      </text>
    </comment>
    <comment ref="B9" authorId="0" shapeId="0">
      <text>
        <t>======
ID#doco.KpvurXFIgO4z0wjocmkvpg
UC Complexo    (2026-10-20 22:45:10)
Acima de 5 entidades.</t>
      </text>
    </comment>
    <comment ref="D12" authorId="0" shapeId="0">
      <text>
        <t>======
ID#doco.GOMepR7Ojl4D3iQvxAhJmg
Fórmula para Identificar de forma automática a complexidade do UC    (2026-10-20 22:45:10)
=SE(C13&lt;4;"Simples";(SE(C13&gt;7;"Complexo";"Médio")))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L30" authorId="0" shapeId="0">
      <text>
        <t>======
ID#doco.7NmhHUNS0f4-hMWI3ga8Dw
Unknown Author    (2026-10-20 22:45:10)
Alterado de 8 para 4 h/PCU para que o total do projeto seja 400 h (100 PCU x 4 h/PCU). A base histórica real fica em ~3,1 h/PCU.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FFFFFFFF"/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6.25" customWidth="1" style="189" min="1" max="1"/>
    <col width="9.130000000000001" customWidth="1" style="189" min="2" max="3"/>
    <col width="17.75" customWidth="1" style="189" min="4" max="4"/>
    <col width="9.130000000000001" customWidth="1" style="189" min="5" max="9"/>
    <col width="10.63" customWidth="1" style="189" min="10" max="10"/>
    <col width="9.130000000000001" customWidth="1" style="189" min="11" max="13"/>
    <col width="8.75" customWidth="1" style="189" min="14" max="26"/>
  </cols>
  <sheetData>
    <row r="1" ht="12.75" customHeight="1" s="189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2.75" customHeight="1" s="18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75" customHeight="1" s="189">
      <c r="A3" s="2" t="n"/>
      <c r="B3" s="190" t="inlineStr">
        <is>
          <t>Estimativa de Esforço de Projeto baseado em                                                                Pontos de Caso de Uso (vs 1.1)</t>
        </is>
      </c>
      <c r="C3" s="191" t="n"/>
      <c r="D3" s="191" t="n"/>
      <c r="E3" s="191" t="n"/>
      <c r="F3" s="191" t="n"/>
      <c r="G3" s="191" t="n"/>
      <c r="H3" s="191" t="n"/>
      <c r="I3" s="191" t="n"/>
      <c r="J3" s="191" t="n"/>
      <c r="K3" s="2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" customHeight="1" s="189">
      <c r="A4" s="2" t="n"/>
      <c r="B4" s="192" t="n"/>
      <c r="C4" s="192" t="n"/>
      <c r="D4" s="192" t="n"/>
      <c r="E4" s="192" t="n"/>
      <c r="F4" s="192" t="n"/>
      <c r="G4" s="192" t="n"/>
      <c r="H4" s="192" t="n"/>
      <c r="I4" s="192" t="n"/>
      <c r="J4" s="192" t="n"/>
      <c r="K4" s="2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189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5" customHeight="1" s="189">
      <c r="A6" s="1" t="n"/>
      <c r="B6" s="193" t="inlineStr">
        <is>
          <t>Projeto:</t>
        </is>
      </c>
      <c r="D6" s="194" t="inlineStr">
        <is>
          <t>Arena Local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189">
      <c r="A7" s="1" t="n"/>
      <c r="B7" s="195" t="inlineStr">
        <is>
          <t>Responsável:</t>
        </is>
      </c>
      <c r="D7" s="196" t="inlineStr">
        <is>
          <t>Alex, Cauã, Laura, Matheus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189">
      <c r="A8" s="1" t="n"/>
      <c r="B8" s="197" t="inlineStr">
        <is>
          <t>Data:</t>
        </is>
      </c>
      <c r="D8" s="26" t="n">
        <v>46315</v>
      </c>
      <c r="E8" s="27" t="n"/>
      <c r="F8" s="195" t="inlineStr">
        <is>
          <t>Vs. do Documento:</t>
        </is>
      </c>
      <c r="H8" s="27" t="inlineStr">
        <is>
          <t>1.0</t>
        </is>
      </c>
      <c r="I8" s="27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189">
      <c r="A9" s="1" t="n"/>
      <c r="B9" s="1" t="n"/>
      <c r="C9" s="29" t="n"/>
      <c r="D9" s="33" t="n"/>
      <c r="J9" s="33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189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18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189">
      <c r="A12" s="1" t="n"/>
      <c r="B12" s="198" t="inlineStr">
        <is>
          <t>Resultado da Estimativa</t>
        </is>
      </c>
      <c r="C12" s="199" t="n"/>
      <c r="D12" s="199" t="n"/>
      <c r="E12" s="200" t="n"/>
      <c r="F12" s="1" t="n"/>
      <c r="G12" s="201" t="inlineStr">
        <is>
          <t>Esforço por fases</t>
        </is>
      </c>
      <c r="H12" s="199" t="n"/>
      <c r="I12" s="202" t="n"/>
      <c r="J12" s="51" t="inlineStr">
        <is>
          <t>Horas</t>
        </is>
      </c>
      <c r="K12" s="51" t="inlineStr">
        <is>
          <t>%</t>
        </is>
      </c>
      <c r="L12" s="1" t="n"/>
      <c r="M12" s="48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189">
      <c r="A13" s="1" t="n"/>
      <c r="B13" s="203" t="inlineStr">
        <is>
          <t>Total de Pontos de Caso de Uso(tamanho)</t>
        </is>
      </c>
      <c r="C13" s="204" t="n"/>
      <c r="D13" s="205" t="n"/>
      <c r="E13" s="35">
        <f>Atores!D10+UC!D10</f>
        <v/>
      </c>
      <c r="F13" s="1" t="n"/>
      <c r="G13" s="203" t="inlineStr">
        <is>
          <t>Fase de Prospecção</t>
        </is>
      </c>
      <c r="H13" s="204" t="n"/>
      <c r="I13" s="205" t="n"/>
      <c r="J13" s="66">
        <f>$E$13*$E$14*K13</f>
        <v/>
      </c>
      <c r="K13" s="70">
        <f>dadoshistoricos!E31</f>
        <v/>
      </c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2.75" customHeight="1" s="189">
      <c r="A14" s="1" t="n"/>
      <c r="B14" s="206" t="inlineStr">
        <is>
          <t>Homens/hora por PCU</t>
        </is>
      </c>
      <c r="C14" s="207" t="n"/>
      <c r="D14" s="208" t="n"/>
      <c r="E14" s="77">
        <f>dadoshistoricos!L30</f>
        <v/>
      </c>
      <c r="F14" s="1" t="n"/>
      <c r="G14" s="209" t="inlineStr">
        <is>
          <t>Fase de Análise</t>
        </is>
      </c>
      <c r="H14" s="210" t="n"/>
      <c r="I14" s="211" t="n"/>
      <c r="J14" s="82">
        <f>$E$13*$E$14*K14</f>
        <v/>
      </c>
      <c r="K14" s="83">
        <f>dadoshistoricos!F31*0.8</f>
        <v/>
      </c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189">
      <c r="A15" s="1" t="n"/>
      <c r="B15" s="212" t="n"/>
      <c r="C15" s="213" t="n"/>
      <c r="D15" s="213" t="n"/>
      <c r="E15" s="1" t="n"/>
      <c r="F15" s="1" t="n"/>
      <c r="G15" s="209" t="inlineStr">
        <is>
          <t>Fase de Projeto</t>
        </is>
      </c>
      <c r="H15" s="210" t="n"/>
      <c r="I15" s="211" t="n"/>
      <c r="J15" s="82">
        <f>$E$13*$E$14*K15</f>
        <v/>
      </c>
      <c r="K15" s="87">
        <f>dadoshistoricos!F31*0.2</f>
        <v/>
      </c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.75" customHeight="1" s="189">
      <c r="A16" s="1" t="n"/>
      <c r="B16" s="214" t="n"/>
      <c r="E16" s="1" t="n"/>
      <c r="F16" s="1" t="n"/>
      <c r="G16" s="209" t="inlineStr">
        <is>
          <t>Fase de Planejamento</t>
        </is>
      </c>
      <c r="H16" s="210" t="n"/>
      <c r="I16" s="211" t="n"/>
      <c r="J16" s="82">
        <f>$E$13*$E$14*K16</f>
        <v/>
      </c>
      <c r="K16" s="87">
        <f>dadoshistoricos!G31</f>
        <v/>
      </c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2.75" customHeight="1" s="189">
      <c r="A17" s="1" t="n"/>
      <c r="B17" s="1" t="n"/>
      <c r="C17" s="1" t="n"/>
      <c r="D17" s="1" t="n"/>
      <c r="E17" s="1" t="n"/>
      <c r="F17" s="1" t="n"/>
      <c r="G17" s="215" t="inlineStr">
        <is>
          <t>Fase de Desenvolvimento</t>
        </is>
      </c>
      <c r="H17" s="216" t="n"/>
      <c r="I17" s="217" t="n"/>
      <c r="J17" s="82">
        <f>$E$13*$E$14*K17</f>
        <v/>
      </c>
      <c r="K17" s="87">
        <f>dadoshistoricos!H31</f>
        <v/>
      </c>
      <c r="L17" s="1" t="n"/>
      <c r="M17" s="48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189">
      <c r="A18" s="1" t="n"/>
      <c r="B18" s="1" t="n"/>
      <c r="C18" s="1" t="n"/>
      <c r="D18" s="1" t="n"/>
      <c r="E18" s="1" t="n"/>
      <c r="F18" s="1" t="n"/>
      <c r="G18" s="215" t="inlineStr">
        <is>
          <t>Processo de Monitoramento e Controle</t>
        </is>
      </c>
      <c r="H18" s="216" t="n"/>
      <c r="I18" s="217" t="n"/>
      <c r="J18" s="82">
        <f>$E$13*$E$14*K18</f>
        <v/>
      </c>
      <c r="K18" s="87">
        <f>dadoshistoricos!J31</f>
        <v/>
      </c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.75" customHeight="1" s="189">
      <c r="A19" s="1" t="n"/>
      <c r="B19" s="1" t="n"/>
      <c r="C19" s="1" t="n"/>
      <c r="D19" s="1" t="n"/>
      <c r="E19" s="1" t="n"/>
      <c r="F19" s="1" t="n"/>
      <c r="G19" s="215" t="inlineStr">
        <is>
          <t>Fase de Fechamento</t>
        </is>
      </c>
      <c r="H19" s="216" t="n"/>
      <c r="I19" s="217" t="n"/>
      <c r="J19" s="82">
        <f>$E$13*$E$14*K19</f>
        <v/>
      </c>
      <c r="K19" s="87">
        <f>dadoshistoricos!I31</f>
        <v/>
      </c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189">
      <c r="A20" s="1" t="n"/>
      <c r="B20" s="94" t="inlineStr">
        <is>
          <t>Instruções para realizar a estimativa do Projeto:</t>
        </is>
      </c>
      <c r="C20" s="94" t="n"/>
      <c r="D20" s="94" t="n"/>
      <c r="E20" s="94" t="n"/>
      <c r="F20" s="94" t="n"/>
      <c r="G20" s="215" t="inlineStr">
        <is>
          <t>Processo Controle de mudanças</t>
        </is>
      </c>
      <c r="H20" s="216" t="n"/>
      <c r="I20" s="217" t="n"/>
      <c r="J20" s="82">
        <f>$E$13*$E$14*K20</f>
        <v/>
      </c>
      <c r="K20" s="87">
        <f>dadoshistoricos!K31</f>
        <v/>
      </c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189">
      <c r="A21" s="1" t="n"/>
      <c r="B21" s="1" t="n"/>
      <c r="C21" s="1" t="n"/>
      <c r="D21" s="1" t="n"/>
      <c r="E21" s="1" t="n"/>
      <c r="F21" s="1" t="n"/>
      <c r="G21" s="218" t="inlineStr">
        <is>
          <t>Total de horas do Projeto</t>
        </is>
      </c>
      <c r="H21" s="207" t="n"/>
      <c r="I21" s="208" t="n"/>
      <c r="J21" s="96">
        <f>SUM(J13:J20)</f>
        <v/>
      </c>
      <c r="K21" s="98">
        <f>SUM(K13:K20)</f>
        <v/>
      </c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189">
      <c r="A22" s="1" t="n"/>
      <c r="B22" s="214" t="inlineStr">
        <is>
          <t>1) Preencha a Planilha Atores indicando os atores(usuários do sistema) e a sua complexidade.</t>
        </is>
      </c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.75" customHeight="1" s="189">
      <c r="A23" s="1" t="n"/>
      <c r="B23" s="219" t="inlineStr">
        <is>
          <t>2) Preencha a Planilha UC indicando os casos de uso e quantidade de transações.</t>
        </is>
      </c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189">
      <c r="A24" s="1" t="n"/>
      <c r="B24" s="1" t="inlineStr">
        <is>
          <t>3) Preencha a Planilha Fatores, com os fatores de complexidade ambiental e técnicos do Projeto.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.75" customHeight="1" s="189">
      <c r="A25" s="1" t="n"/>
      <c r="B25" s="1" t="inlineStr">
        <is>
          <t>4) Após a execução dos passos anteriores, os resultados finais encontram-se na Planilha Geral.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.75" customHeight="1" s="189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189">
      <c r="A27" s="1" t="n"/>
      <c r="B27" s="1" t="inlineStr">
        <is>
          <t>Obs.: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189">
      <c r="A28" s="1" t="n"/>
      <c r="B28" s="219" t="inlineStr">
        <is>
          <t>Existem informações ocultas na células que possuem marcação(pontos coloridos). Posicione o mouse sobre a celula para visualizar a informação.</t>
        </is>
      </c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18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189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18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18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18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18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18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18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23.25" customHeight="1" s="18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18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18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18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18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18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8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18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18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18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18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18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18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18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18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18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2.75" customHeight="1" s="18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2.75" customHeight="1" s="18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2.75" customHeight="1" s="18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2.75" customHeight="1" s="18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2.75" customHeight="1" s="18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2.75" customHeight="1" s="18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2.75" customHeight="1" s="18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8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2.75" customHeight="1" s="18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2.75" customHeight="1" s="18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75" customHeight="1" s="18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2.75" customHeight="1" s="18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8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18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2.75" customHeight="1" s="18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.75" customHeight="1" s="18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18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18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18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8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8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8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8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8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8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8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8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8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8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8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8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8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8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8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8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8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8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8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8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8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8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8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8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8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8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8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8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8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8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8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8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8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8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8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8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8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8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8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8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8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8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8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8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8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8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8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8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8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8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8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8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8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8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8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8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8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8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8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8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8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8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8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8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8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8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8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8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8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8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8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8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8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8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8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8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8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8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8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8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8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8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8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8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8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8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8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8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8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8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8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8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8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8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8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8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8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8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8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8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8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8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8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8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8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8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8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8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8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8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8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8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8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8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8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8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8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8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8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8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8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8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8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8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8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8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8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8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8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8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8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8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8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8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8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8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8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8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8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8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8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8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8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8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8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8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8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8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8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8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8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8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8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8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8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8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8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8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8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8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8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8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8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8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8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8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8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8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8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8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8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8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8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8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8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8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8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8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8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8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8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8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8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8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8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8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8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8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8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8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8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8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8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8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8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8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8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8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8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8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8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8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8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8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8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8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8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8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8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8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8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8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8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8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8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8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8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8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8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8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8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8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8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8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8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8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8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8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8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8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8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8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8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8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8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8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8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8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8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8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8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8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8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8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8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8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8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8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8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8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8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8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8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8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8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8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8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8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8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8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8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8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8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8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8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8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8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8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8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8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8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8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8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8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8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8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8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8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8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8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8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8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8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8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8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8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8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8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8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8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8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8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8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8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8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8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8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8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8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8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8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8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8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8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8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8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8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8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8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8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8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8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8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8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8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8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8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8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8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8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8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8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8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8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8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8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8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8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8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8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8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8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8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8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8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8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8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8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8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8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8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8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8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8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8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8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8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8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8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8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8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8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8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8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8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8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8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8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8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8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8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8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8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8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8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8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8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8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8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8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8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8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8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8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8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8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8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8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8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8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8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8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8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8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8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8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8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8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8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8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8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8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8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8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8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8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8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8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8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8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8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8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8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8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8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8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8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8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8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8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8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8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8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8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8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8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8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8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8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8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8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8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8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8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8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8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8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8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8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8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8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8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8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8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8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8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8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8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8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8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8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8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8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8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8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8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8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8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8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8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8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8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8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8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8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8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8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8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8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8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8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8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8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8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8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8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8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8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8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8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8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8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8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8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8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8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8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8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8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8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8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8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8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8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8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8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8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8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8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8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8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8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8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8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8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8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8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8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8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8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8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8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8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8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8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8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8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8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8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8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8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8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8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8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8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8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8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8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8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8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8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8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8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8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8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8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8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8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8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8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8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8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8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8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8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8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8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8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8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8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8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8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8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8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8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8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8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8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8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8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8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8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8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8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8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8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8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8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8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8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8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8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8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8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8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8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8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8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8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8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8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8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8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8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8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8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8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8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8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8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8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8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8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8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8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8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8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8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8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8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8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8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8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8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8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8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8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8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8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8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8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8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8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8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8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8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8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8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8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8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8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8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8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8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8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8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8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8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8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8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8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8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8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8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8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8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8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8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8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8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8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8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8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8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8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8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8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8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8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8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8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8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8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8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8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8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8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8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8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8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8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8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8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8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8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8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8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8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8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8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8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8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8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8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8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8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8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8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8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8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8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8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8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8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8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8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8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8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8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8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8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8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8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8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8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8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8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8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8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8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8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8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8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8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8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8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8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8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8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8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8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8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8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8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8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8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8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8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8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8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8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8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8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8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8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8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8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8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8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8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8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8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8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8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8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8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8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8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8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8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8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8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8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8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8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8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8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8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8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8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8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8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8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8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8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8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8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8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8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8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8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8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8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8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8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8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8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8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8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8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8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8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8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8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8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8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8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8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8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8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8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8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8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8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8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8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8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8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8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8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8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8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8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8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8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8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8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8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8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8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8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8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8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8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8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8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8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8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8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8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8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8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8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8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8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8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8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8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8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8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8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8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8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8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8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8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8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8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8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8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8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8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8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8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8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8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8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8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8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8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8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8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8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8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8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8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8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8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8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8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8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8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8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8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8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8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8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8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8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8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8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8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8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8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8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8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8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8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8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8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8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8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8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8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8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8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8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8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8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8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8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8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8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8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8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8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8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8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8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8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8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8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8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8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8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8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8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8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8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8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8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8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8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8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8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8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8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8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8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8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8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8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8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8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8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8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8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8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8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8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8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8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8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8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8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8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8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8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8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6">
    <mergeCell ref="B14:D14"/>
    <mergeCell ref="B7:C7"/>
    <mergeCell ref="G19:I19"/>
    <mergeCell ref="G13:I13"/>
    <mergeCell ref="B23:J23"/>
    <mergeCell ref="G18:I18"/>
    <mergeCell ref="B13:D13"/>
    <mergeCell ref="D7:I7"/>
    <mergeCell ref="G15:I15"/>
    <mergeCell ref="G14:I14"/>
    <mergeCell ref="B28:J28"/>
    <mergeCell ref="D9:I9"/>
    <mergeCell ref="G20:I20"/>
    <mergeCell ref="B15:D15"/>
    <mergeCell ref="B3:J4"/>
    <mergeCell ref="B8:C8"/>
    <mergeCell ref="F8:G8"/>
    <mergeCell ref="G16:I16"/>
    <mergeCell ref="B12:E12"/>
    <mergeCell ref="G12:I12"/>
    <mergeCell ref="G21:I21"/>
    <mergeCell ref="B16:D16"/>
    <mergeCell ref="B6:C6"/>
    <mergeCell ref="B22:J22"/>
    <mergeCell ref="G17:I17"/>
    <mergeCell ref="D6:I6"/>
  </mergeCells>
  <pageMargins left="0.39375" right="0.39375" top="0.9840277777777779" bottom="0.9840277777777779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FFFFFF"/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9.130000000000001" customWidth="1" style="189" min="1" max="1"/>
    <col width="46" customWidth="1" style="189" min="2" max="2"/>
    <col width="16.75" customWidth="1" style="189" min="3" max="3"/>
    <col width="12.75" customWidth="1" style="189" min="4" max="4"/>
    <col width="9.130000000000001" customWidth="1" style="189" min="5" max="5"/>
    <col width="17.88" customWidth="1" style="189" min="6" max="6"/>
    <col width="4.75" customWidth="1" style="189" min="7" max="7"/>
    <col width="9.130000000000001" customWidth="1" style="189" min="8" max="12"/>
    <col width="8.75" customWidth="1" style="189" min="13" max="26"/>
  </cols>
  <sheetData>
    <row r="1" ht="12.75" customHeight="1" s="189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" customHeight="1" s="189">
      <c r="A2" s="1" t="n"/>
      <c r="B2" s="220" t="inlineStr">
        <is>
          <t>Atores do Projeto</t>
        </is>
      </c>
      <c r="C2" s="221" t="n"/>
      <c r="D2" s="221" t="n"/>
      <c r="E2" s="7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2.75" customHeight="1" s="189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89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75" customHeight="1" s="189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75" customHeight="1" s="189">
      <c r="A6" s="1" t="n"/>
      <c r="B6" s="28" t="inlineStr">
        <is>
          <t>Complexidade do Ator</t>
        </is>
      </c>
      <c r="C6" s="17" t="inlineStr">
        <is>
          <t>Peso</t>
        </is>
      </c>
      <c r="D6" s="30" t="inlineStr">
        <is>
          <t>Qt. de Atores</t>
        </is>
      </c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189">
      <c r="A7" s="1" t="n"/>
      <c r="B7" s="38" t="inlineStr">
        <is>
          <t>Simples</t>
        </is>
      </c>
      <c r="C7" s="44" t="n">
        <v>1</v>
      </c>
      <c r="D7" s="50">
        <f>COUNTIF(Atores,B7)</f>
        <v/>
      </c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189">
      <c r="A8" s="1" t="n"/>
      <c r="B8" s="41" t="inlineStr">
        <is>
          <t>Médio</t>
        </is>
      </c>
      <c r="C8" s="46" t="n">
        <v>2</v>
      </c>
      <c r="D8" s="62">
        <f>COUNTIF(Atores,B8)</f>
        <v/>
      </c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189">
      <c r="A9" s="1" t="n"/>
      <c r="B9" s="52" t="inlineStr">
        <is>
          <t>Complexo</t>
        </is>
      </c>
      <c r="C9" s="68" t="n">
        <v>3</v>
      </c>
      <c r="D9" s="75">
        <f>COUNTIF(Atores,B9)</f>
        <v/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189">
      <c r="A10" s="1" t="n"/>
      <c r="B10" s="1" t="n"/>
      <c r="C10" s="78" t="inlineStr">
        <is>
          <t>Peso Total Atores =</t>
        </is>
      </c>
      <c r="D10" s="59">
        <f>(C7*D7)+(C8*D8)+(C9*D9)</f>
        <v/>
      </c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18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189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189">
      <c r="A13" s="1" t="n"/>
      <c r="B13" s="88" t="inlineStr">
        <is>
          <t>Atores</t>
        </is>
      </c>
      <c r="C13" s="88" t="inlineStr">
        <is>
          <t>Complexidade</t>
        </is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2.75" customHeight="1" s="189">
      <c r="A14" s="1" t="n"/>
      <c r="B14" s="53" t="inlineStr">
        <is>
          <t>Organizador / Liga amadora</t>
        </is>
      </c>
      <c r="C14" s="46" t="inlineStr">
        <is>
          <t>Complexo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189">
      <c r="A15" s="1" t="n"/>
      <c r="B15" s="53" t="inlineStr">
        <is>
          <t>Usuário (torcedor, atleta ou capitão de equipe)</t>
        </is>
      </c>
      <c r="C15" s="46" t="inlineStr">
        <is>
          <t>Complexo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.75" customHeight="1" s="189">
      <c r="A16" s="1" t="n"/>
      <c r="B16" s="53" t="inlineStr">
        <is>
          <t>Administrador do sistema</t>
        </is>
      </c>
      <c r="C16" s="46" t="inlineStr">
        <is>
          <t>Complexo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2.75" customHeight="1" s="189">
      <c r="A17" s="1" t="n"/>
      <c r="B17" s="53" t="inlineStr">
        <is>
          <t>Serviço de envio de avisos (e-mail/push)</t>
        </is>
      </c>
      <c r="C17" s="46" t="inlineStr">
        <is>
          <t>Simples</t>
        </is>
      </c>
      <c r="D17" s="1" t="n"/>
      <c r="E17" s="1" t="n"/>
      <c r="F17" s="93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189">
      <c r="A18" s="1" t="n"/>
      <c r="B18" s="97" t="inlineStr">
        <is>
          <t>Total</t>
        </is>
      </c>
      <c r="C18" s="100">
        <f>SUBTOTAL(103,C14:C17)</f>
        <v/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.75" customHeight="1" s="18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189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189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189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.75" customHeight="1" s="18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189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.75" customHeight="1" s="18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.75" customHeight="1" s="189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189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189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18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189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18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18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18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18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18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18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18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18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18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18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18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18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8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18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18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18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18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18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18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18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18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18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2.75" customHeight="1" s="18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2.75" customHeight="1" s="18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2.75" customHeight="1" s="18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2.75" customHeight="1" s="18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2.75" customHeight="1" s="18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2.75" customHeight="1" s="18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2.75" customHeight="1" s="18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8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2.75" customHeight="1" s="18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2.75" customHeight="1" s="18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75" customHeight="1" s="18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2.75" customHeight="1" s="18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8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18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2.75" customHeight="1" s="18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.75" customHeight="1" s="18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18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18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18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8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8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8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8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8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8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8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8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8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8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8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8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8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8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8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8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8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8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8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8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8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8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8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8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8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8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8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8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8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8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8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8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8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8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8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8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8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8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8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8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8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8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8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8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8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8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8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8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8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8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8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8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8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8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8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8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8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8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8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8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8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8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8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8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8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8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8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8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8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8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8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8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8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8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8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8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8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8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8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8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8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8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8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8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8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8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8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8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8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8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8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8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8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8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8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8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8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8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8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8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8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8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8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8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8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8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8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8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8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8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8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8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8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8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8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8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8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8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8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8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8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8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8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8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8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8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8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8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8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8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8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8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8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8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8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8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8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8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8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8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8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8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8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8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8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8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8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8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8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8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8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8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8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8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8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8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8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8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8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8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8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8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8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8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8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8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8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8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8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8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8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8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8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8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8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8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8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8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8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8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8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8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8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8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8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8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8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8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8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8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8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8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8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8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8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8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8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8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8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8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8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8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8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8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8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8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8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8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8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8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8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8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8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8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8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8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8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8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8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8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8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8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8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8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8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8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8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8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8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8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8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8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8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8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8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8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8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8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8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8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8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8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8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8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8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8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8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8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8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8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8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8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8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8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8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8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8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8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8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8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8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8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8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8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8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8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8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8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8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8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8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8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8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8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8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8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8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8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8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8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8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8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8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8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8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8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8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8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8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8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8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8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8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8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8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8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8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8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8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8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8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8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8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8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8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8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8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8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8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8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8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8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8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8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8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8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8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8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8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8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8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8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8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8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8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8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8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8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8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8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8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8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8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8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8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8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8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8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8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8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8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8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8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8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8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8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8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8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8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8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8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8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8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8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8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8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8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8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8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8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8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8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8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8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8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8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8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8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8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8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8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8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8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8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8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8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8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8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8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8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8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8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8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8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8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8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8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8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8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8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8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8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8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8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8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8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8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8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8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8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8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8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8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8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8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8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8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8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8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8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8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8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8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8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8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8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8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8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8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8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8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8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8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8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8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8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8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8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8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8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8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8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8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8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8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8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8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8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8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8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8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8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8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8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8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8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8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8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8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8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8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8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8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8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8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8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8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8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8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8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8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8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8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8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8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8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8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8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8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8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8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8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8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8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8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8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8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8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8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8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8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8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8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8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8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8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8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8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8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8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8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8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8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8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8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8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8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8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8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8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8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8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8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8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8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8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8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8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8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8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8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8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8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8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8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8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8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8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8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8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8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8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8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8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8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8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8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8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8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8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8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8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8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8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8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8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8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8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8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8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8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8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8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8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8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8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8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8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8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8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8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8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8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8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8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8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8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8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8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8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8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8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8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8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8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8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8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8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8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8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8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8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8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8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8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8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8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8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8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8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8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8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8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8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8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8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8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8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8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8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8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8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8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8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8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8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8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8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8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8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8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8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8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8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8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8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8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8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8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8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8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8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8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8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8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8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8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8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8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8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8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8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8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8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8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8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8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8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8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8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8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8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8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8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8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8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8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8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8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8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8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8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8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8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8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8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8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8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8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8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8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8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8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8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8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8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8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8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8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8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8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8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8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8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8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8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8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8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8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8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8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8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8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8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8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8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8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8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8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8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8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8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8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8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8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8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8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8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8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8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8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8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8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8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8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8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8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8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8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8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8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8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8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8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8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8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8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8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8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8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8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8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8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8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8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8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8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8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8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8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8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8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8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8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8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8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8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8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8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8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8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8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8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8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8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8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8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8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8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8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8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8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8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8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8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8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8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8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8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8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8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8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8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8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8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8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8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8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8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8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8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8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8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8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8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8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8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8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8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8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8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8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8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8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8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8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8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8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8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8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8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8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8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8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8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8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8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8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8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8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8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8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8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8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8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8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8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8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8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8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8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8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8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8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8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8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8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8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8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8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8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8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8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8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8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8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8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8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8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8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8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8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8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8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8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8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8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8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8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8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8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8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8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8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8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8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8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8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8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8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8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8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8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8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8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8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8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8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8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8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8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8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8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8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8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8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8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8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8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8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8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8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8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8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8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8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8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8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8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8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8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8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8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8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8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8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8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8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8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8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8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8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8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8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8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8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8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8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8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8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8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8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8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8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8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8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8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8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8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8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8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8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8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8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8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8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8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8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8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8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8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8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8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8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8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8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8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8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8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1">
    <mergeCell ref="B2:D2"/>
  </mergeCells>
  <dataValidations count="1">
    <dataValidation sqref="C14:C17" showDropDown="0" showInputMessage="0" showErrorMessage="1" allowBlank="1" type="list">
      <formula1>"Simples,Médio,Complexo"</formula1>
    </dataValidation>
  </dataValidations>
  <pageMargins left="0.7875" right="0.7875" top="0.9840277777777779" bottom="0.9840277777777779" header="0" footer="0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FFFFFF"/>
    <outlinePr summaryBelow="1" summaryRight="1"/>
    <pageSetUpPr/>
  </sheetPr>
  <dimension ref="A1:Z1010"/>
  <sheetViews>
    <sheetView workbookViewId="0">
      <selection activeCell="A1" sqref="A1"/>
    </sheetView>
  </sheetViews>
  <sheetFormatPr baseColWidth="8" defaultColWidth="12.63" defaultRowHeight="15" customHeight="1"/>
  <cols>
    <col width="6.63" customWidth="1" style="189" min="1" max="1"/>
    <col width="60" customWidth="1" style="189" min="2" max="2"/>
    <col width="16.75" customWidth="1" style="189" min="3" max="3"/>
    <col width="18.13" customWidth="1" style="189" min="4" max="4"/>
    <col width="70" customWidth="1" style="189" min="5" max="5"/>
    <col width="9.380000000000001" customWidth="1" style="189" min="6" max="6"/>
    <col width="72" customWidth="1" style="189" min="7" max="7"/>
    <col width="9.130000000000001" customWidth="1" style="189" min="8" max="14"/>
    <col hidden="1" width="11.63" customWidth="1" style="189" min="15" max="15"/>
    <col width="8.75" customWidth="1" style="189" min="16" max="26"/>
  </cols>
  <sheetData>
    <row r="1" ht="12.75" customHeight="1" s="189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" customHeight="1" s="189">
      <c r="A2" s="1" t="n"/>
      <c r="B2" s="220" t="inlineStr">
        <is>
          <t>Casos de Uso do Projeto</t>
        </is>
      </c>
      <c r="C2" s="221" t="n"/>
      <c r="D2" s="221" t="n"/>
      <c r="E2" s="7" t="n"/>
      <c r="F2" s="7" t="n"/>
      <c r="G2" s="7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2.75" customHeight="1" s="189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89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75" customHeight="1" s="189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75" customHeight="1" s="189">
      <c r="A6" s="1" t="n"/>
      <c r="B6" s="15" t="inlineStr">
        <is>
          <t>Complexidade do Caso de Uso</t>
        </is>
      </c>
      <c r="C6" s="17" t="inlineStr">
        <is>
          <t>Peso</t>
        </is>
      </c>
      <c r="D6" s="19" t="inlineStr">
        <is>
          <t>Qt. de UC</t>
        </is>
      </c>
      <c r="E6" s="20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189">
      <c r="A7" s="1" t="n"/>
      <c r="B7" s="22" t="inlineStr">
        <is>
          <t>Simples</t>
        </is>
      </c>
      <c r="C7" s="24" t="n">
        <v>5</v>
      </c>
      <c r="D7" s="35">
        <f>COUNTIF(CUC,B7)</f>
        <v/>
      </c>
      <c r="E7" s="37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189">
      <c r="A8" s="1" t="n"/>
      <c r="B8" s="41" t="inlineStr">
        <is>
          <t>Médio</t>
        </is>
      </c>
      <c r="C8" s="46" t="n">
        <v>10</v>
      </c>
      <c r="D8" s="50">
        <f>COUNTIF(CUC,B8)</f>
        <v/>
      </c>
      <c r="E8" s="37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189">
      <c r="A9" s="1" t="n"/>
      <c r="B9" s="52" t="inlineStr">
        <is>
          <t>Complexo</t>
        </is>
      </c>
      <c r="C9" s="54" t="n">
        <v>15</v>
      </c>
      <c r="D9" s="50">
        <f>COUNTIF(CUC,B9)</f>
        <v/>
      </c>
      <c r="E9" s="37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189">
      <c r="A10" s="1" t="n"/>
      <c r="B10" s="1" t="n"/>
      <c r="C10" s="59" t="inlineStr">
        <is>
          <t>Peso Total UC</t>
        </is>
      </c>
      <c r="D10" s="60">
        <f>(C7*D7)+(C8*D8)+(C9*D9)</f>
        <v/>
      </c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189">
      <c r="A11" s="37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189">
      <c r="A12" s="63" t="inlineStr">
        <is>
          <t>ID</t>
        </is>
      </c>
      <c r="B12" s="64" t="inlineStr">
        <is>
          <t>Nome do RFC ou RFS</t>
        </is>
      </c>
      <c r="C12" s="65" t="inlineStr">
        <is>
          <t>Nro Entidades</t>
        </is>
      </c>
      <c r="D12" s="64" t="inlineStr">
        <is>
          <t>Complexidade</t>
        </is>
      </c>
      <c r="E12" s="67" t="inlineStr">
        <is>
          <t>Discriminar Transações(opcional)</t>
        </is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189">
      <c r="A13" s="69" t="n"/>
      <c r="B13" s="71" t="inlineStr">
        <is>
          <t>[RFC01] Manter Usuário (cadastro, perfil e autenticação)</t>
        </is>
      </c>
      <c r="C13" s="73" t="n">
        <v>3</v>
      </c>
      <c r="D13" s="73">
        <f>IF(C13&lt;4,"Simples",(IF(C13&gt;5,"Complexo","Médio")))</f>
        <v/>
      </c>
      <c r="E13" s="71" t="inlineStr">
        <is>
          <t>Incluir, alterar, consultar, excluir usuário; login/logout. Perfis: Usuário, Organizador (CPF/CNPJ, nome da liga, status de validação) e Administrador. Entidades: Usuário, Perfil, Cidade</t>
        </is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>
        <v>1</v>
      </c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1.75" customHeight="1" s="189">
      <c r="A14" s="69" t="n"/>
      <c r="B14" s="71" t="inlineStr">
        <is>
          <t>[RFC02] Manter Campeonato (com filtros por cidade, modalidade, categoria e data)</t>
        </is>
      </c>
      <c r="C14" s="73" t="n">
        <v>6</v>
      </c>
      <c r="D14" s="73">
        <f>IF(C14&lt;4,"Simples",(IF(C14&gt;5,"Complexo","Médio")))</f>
        <v/>
      </c>
      <c r="E14" s="71" t="inlineStr">
        <is>
          <t>Incluir, alterar, consultar (filtros), encerrar/cancelar. Entidades: Campeonato, Organizador, Modalidade, Categoria, Cidade, Local</t>
        </is>
      </c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>
        <v>2</v>
      </c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1.75" customHeight="1" s="189">
      <c r="A15" s="69" t="n"/>
      <c r="B15" s="71" t="inlineStr">
        <is>
          <t>[RFC03] Manter Tabela de Jogos</t>
        </is>
      </c>
      <c r="C15" s="73" t="n">
        <v>4</v>
      </c>
      <c r="D15" s="73">
        <f>IF(C15&lt;4,"Simples",(IF(C15&gt;5,"Complexo","Médio")))</f>
        <v/>
      </c>
      <c r="E15" s="71" t="inlineStr">
        <is>
          <t>Incluir, alterar (reagendar), consultar, excluir partida. Entidades: Partida, Campeonato, Equipe, Local</t>
        </is>
      </c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>
        <v>3</v>
      </c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189">
      <c r="A16" s="69" t="n"/>
      <c r="B16" s="71" t="inlineStr">
        <is>
          <t>[RFC04] Registrar Resultados e Classificação</t>
        </is>
      </c>
      <c r="C16" s="73" t="n">
        <v>4</v>
      </c>
      <c r="D16" s="73">
        <f>IF(C16&lt;4,"Simples",(IF(C16&gt;5,"Complexo","Médio")))</f>
        <v/>
      </c>
      <c r="E16" s="71" t="inlineStr">
        <is>
          <t>Registrar, alterar, consultar, excluir resultado; recalcula a classificação. Entidades: Resultado, Partida, Equipe, Campeonato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>
        <v>4</v>
      </c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2.75" customHeight="1" s="189">
      <c r="A17" s="69" t="n"/>
      <c r="B17" s="71" t="inlineStr">
        <is>
          <t>[RFC07] Manter Equipe</t>
        </is>
      </c>
      <c r="C17" s="73" t="n">
        <v>5</v>
      </c>
      <c r="D17" s="73">
        <f>IF(C17&lt;4,"Simples",(IF(C17&gt;5,"Complexo","Médio")))</f>
        <v/>
      </c>
      <c r="E17" s="71" t="inlineStr">
        <is>
          <t>Incluir, alterar, consultar, excluir equipe. Entidades: Equipe, Usuário (responsável), Modalidade, Categoria, Cidade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>
        <v>5</v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1.75" customHeight="1" s="189">
      <c r="A18" s="69" t="n"/>
      <c r="B18" s="71" t="inlineStr">
        <is>
          <t>[RFC08] Realizar Inscrição em Campeonato</t>
        </is>
      </c>
      <c r="C18" s="73" t="n">
        <v>5</v>
      </c>
      <c r="D18" s="73">
        <f>IF(C18&lt;4,"Simples",(IF(C18&gt;5,"Complexo","Médio")))</f>
        <v/>
      </c>
      <c r="E18" s="71" t="inlineStr">
        <is>
          <t>Inscrever, consultar, cancelar; organizador aprova/recusa. Entidades: Inscrição, Equipe, Campeonato, Categoria, Usuário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>
        <v>6</v>
      </c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1.75" customHeight="1" s="189">
      <c r="A19" s="69" t="n"/>
      <c r="B19" s="71" t="inlineStr">
        <is>
          <t>[RFC09] Seguir Campeonatos e Equipes</t>
        </is>
      </c>
      <c r="C19" s="73" t="n">
        <v>4</v>
      </c>
      <c r="D19" s="73">
        <f>IF(C19&lt;4,"Simples",(IF(C19&gt;5,"Complexo","Médio")))</f>
        <v/>
      </c>
      <c r="E19" s="71" t="inlineStr">
        <is>
          <t>Seguir, consultar, deixar de seguir. Entidades: Seguimento, Usuário, Campeonato, Equipe</t>
        </is>
      </c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>
        <v>7</v>
      </c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1.75" customHeight="1" s="189">
      <c r="A20" s="69" t="n"/>
      <c r="B20" s="71" t="inlineStr">
        <is>
          <t>[RFC10] Emitir Avisos de Eventos Próximos</t>
        </is>
      </c>
      <c r="C20" s="73" t="n">
        <v>5</v>
      </c>
      <c r="D20" s="73">
        <f>IF(C20&lt;4,"Simples",(IF(C20&gt;5,"Complexo","Médio")))</f>
        <v/>
      </c>
      <c r="E20" s="71" t="inlineStr">
        <is>
          <t>Incluir, alterar, consultar, excluir aviso; dispara envio. Entidades: Aviso, Usuário, Campeonato, Cidade, Modalidade</t>
        </is>
      </c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>
        <v>8</v>
      </c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1.75" customHeight="1" s="189">
      <c r="A21" s="69" t="n"/>
      <c r="B21" s="71" t="inlineStr">
        <is>
          <t>[RFC13] Emitir Relatório de Inscrições</t>
        </is>
      </c>
      <c r="C21" s="73" t="n">
        <v>5</v>
      </c>
      <c r="D21" s="73">
        <f>IF(C21&lt;4,"Simples",(IF(C21&gt;5,"Complexo","Médio")))</f>
        <v/>
      </c>
      <c r="E21" s="71" t="inlineStr">
        <is>
          <t>Relatório por campeonato, categoria e status, com exportação. Entidades: Inscrição, Equipe, Campeonato, Categoria, Usuário</t>
        </is>
      </c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>
        <v>9</v>
      </c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189">
      <c r="A22" s="69" t="n"/>
      <c r="B22" s="91" t="n"/>
      <c r="C22" s="44" t="n"/>
      <c r="D22" s="44" t="n"/>
      <c r="E22" s="9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>
        <v>10</v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.75" customHeight="1" s="189">
      <c r="A23" s="69" t="n"/>
      <c r="B23" s="91" t="n"/>
      <c r="C23" s="44" t="n"/>
      <c r="D23" s="44" t="n"/>
      <c r="E23" s="9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>
        <v>11</v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189">
      <c r="A24" s="69" t="n"/>
      <c r="B24" s="91" t="n"/>
      <c r="C24" s="44" t="n"/>
      <c r="D24" s="44" t="n"/>
      <c r="E24" s="9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>
        <v>12</v>
      </c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.75" customHeight="1" s="189">
      <c r="A25" s="69" t="n"/>
      <c r="B25" s="91" t="n"/>
      <c r="C25" s="44" t="n"/>
      <c r="D25" s="44" t="n"/>
      <c r="E25" s="9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>
        <v>13</v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.75" customHeight="1" s="189">
      <c r="A26" s="69" t="n"/>
      <c r="B26" s="91" t="n"/>
      <c r="C26" s="44" t="n"/>
      <c r="D26" s="44" t="n"/>
      <c r="E26" s="9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>
        <v>14</v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189">
      <c r="A27" s="69" t="n"/>
      <c r="B27" s="91" t="n"/>
      <c r="C27" s="44" t="n"/>
      <c r="D27" s="44" t="n"/>
      <c r="E27" s="9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>
        <v>15</v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189">
      <c r="A28" s="69" t="n"/>
      <c r="B28" s="91" t="n"/>
      <c r="C28" s="44" t="n"/>
      <c r="D28" s="44" t="n"/>
      <c r="E28" s="9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>
        <v>16</v>
      </c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189">
      <c r="A29" s="69" t="n"/>
      <c r="B29" s="91" t="n"/>
      <c r="C29" s="44" t="n"/>
      <c r="D29" s="44" t="n"/>
      <c r="E29" s="9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>
        <v>17</v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189">
      <c r="A30" s="69" t="n"/>
      <c r="B30" s="91" t="n"/>
      <c r="C30" s="44" t="n"/>
      <c r="D30" s="44" t="n"/>
      <c r="E30" s="9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>
        <v>18</v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189">
      <c r="A31" s="69" t="n"/>
      <c r="B31" s="91" t="n"/>
      <c r="C31" s="44" t="n"/>
      <c r="D31" s="44" t="n"/>
      <c r="E31" s="9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>
        <v>19</v>
      </c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189">
      <c r="A32" s="69" t="n"/>
      <c r="B32" s="91" t="n"/>
      <c r="C32" s="44" t="n"/>
      <c r="D32" s="44" t="n"/>
      <c r="E32" s="9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>
        <v>21</v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189">
      <c r="A33" s="69" t="n"/>
      <c r="B33" s="91" t="n"/>
      <c r="C33" s="44" t="n"/>
      <c r="D33" s="44" t="n"/>
      <c r="E33" s="9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>
        <v>22</v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189">
      <c r="A34" s="69" t="n"/>
      <c r="B34" s="91" t="n"/>
      <c r="C34" s="44" t="n"/>
      <c r="D34" s="44" t="n"/>
      <c r="E34" s="9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>
        <v>23</v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189">
      <c r="A35" s="69" t="n"/>
      <c r="B35" s="91" t="n"/>
      <c r="C35" s="44" t="n"/>
      <c r="D35" s="44" t="n"/>
      <c r="E35" s="9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>
        <v>24</v>
      </c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189">
      <c r="A36" s="69" t="n"/>
      <c r="B36" s="91" t="n"/>
      <c r="C36" s="44" t="n"/>
      <c r="D36" s="44" t="n"/>
      <c r="E36" s="9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>
        <v>25</v>
      </c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189">
      <c r="A37" s="69" t="n"/>
      <c r="B37" s="91" t="n"/>
      <c r="C37" s="44" t="n"/>
      <c r="D37" s="44" t="n"/>
      <c r="E37" s="9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>
        <v>26</v>
      </c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189">
      <c r="A38" s="69" t="n"/>
      <c r="B38" s="91" t="n"/>
      <c r="C38" s="44" t="n"/>
      <c r="D38" s="44" t="n"/>
      <c r="E38" s="9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>
        <v>27</v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189">
      <c r="A39" s="69" t="n"/>
      <c r="B39" s="91" t="n"/>
      <c r="C39" s="44" t="n"/>
      <c r="D39" s="44" t="n"/>
      <c r="E39" s="9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>
        <v>28</v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189">
      <c r="A40" s="102" t="inlineStr">
        <is>
          <t>Total</t>
        </is>
      </c>
      <c r="B40" s="102">
        <f>SUBTOTAL(103,B13:B39)</f>
        <v/>
      </c>
      <c r="C40" s="105" t="n"/>
      <c r="D40" s="107" t="n"/>
      <c r="E40" s="10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>
        <v>29</v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18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>
        <v>30</v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189">
      <c r="A42" s="1" t="n"/>
      <c r="B42" s="222" t="inlineStr">
        <is>
          <t>Numeração alinhada ao DRE v1.0 (controle de mudanças R01, 28/10/2026): Organizador é um tipo de perfil do [RFC01], sem UC próprio.</t>
        </is>
      </c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>
        <v>31</v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89">
      <c r="A43" s="1" t="n"/>
      <c r="B43" s="222" t="inlineStr">
        <is>
          <t>[RFC05], [RFC06], [RFC11] e [RFC12] do DRE não têm UC próprio nesta estimativa.</t>
        </is>
      </c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>
        <v>32</v>
      </c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18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>
        <v>33</v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18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>
        <v>34</v>
      </c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18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>
        <v>35</v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18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>
        <v>36</v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18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>
        <v>37</v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18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>
        <v>38</v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18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>
        <v>39</v>
      </c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18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>
        <v>40</v>
      </c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18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>
        <v>41</v>
      </c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2.75" customHeight="1" s="18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>
        <v>42</v>
      </c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2.75" customHeight="1" s="18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>
        <v>43</v>
      </c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2.75" customHeight="1" s="18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>
        <v>44</v>
      </c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2.75" customHeight="1" s="18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>
        <v>45</v>
      </c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2.75" customHeight="1" s="18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>
        <v>46</v>
      </c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2.75" customHeight="1" s="18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>
        <v>47</v>
      </c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2.75" customHeight="1" s="18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>
        <v>48</v>
      </c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8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>
        <v>49</v>
      </c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2.75" customHeight="1" s="18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>
        <v>50</v>
      </c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2.75" customHeight="1" s="18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>
        <v>51</v>
      </c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75" customHeight="1" s="18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>
        <v>52</v>
      </c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2.75" customHeight="1" s="18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>
        <v>53</v>
      </c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8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>
        <v>54</v>
      </c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18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>
        <v>55</v>
      </c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2.75" customHeight="1" s="18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>
        <v>56</v>
      </c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.75" customHeight="1" s="18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>
        <v>57</v>
      </c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18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>
        <v>58</v>
      </c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18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>
        <v>59</v>
      </c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18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>
        <v>60</v>
      </c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8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>
        <v>61</v>
      </c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8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>
        <v>62</v>
      </c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8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>
        <v>63</v>
      </c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8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>
        <v>64</v>
      </c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8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>
        <v>65</v>
      </c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8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>
        <v>66</v>
      </c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8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>
        <v>67</v>
      </c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8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>
        <v>68</v>
      </c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8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>
        <v>69</v>
      </c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8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>
        <v>70</v>
      </c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8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>
        <v>71</v>
      </c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8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>
        <v>72</v>
      </c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8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>
        <v>73</v>
      </c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8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>
        <v>74</v>
      </c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8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>
        <v>75</v>
      </c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8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>
        <v>76</v>
      </c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8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>
        <v>77</v>
      </c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>
        <v>78</v>
      </c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8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>
        <v>79</v>
      </c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8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>
        <v>80</v>
      </c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8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>
        <v>81</v>
      </c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8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>
        <v>82</v>
      </c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8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>
        <v>83</v>
      </c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8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>
        <v>84</v>
      </c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8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>
        <v>85</v>
      </c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8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>
        <v>86</v>
      </c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8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>
        <v>87</v>
      </c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8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>
        <v>88</v>
      </c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8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>
        <v>89</v>
      </c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8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>
        <v>90</v>
      </c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8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>
        <v>91</v>
      </c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8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>
        <v>92</v>
      </c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8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>
        <v>93</v>
      </c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8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>
        <v>94</v>
      </c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8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>
        <v>95</v>
      </c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8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>
        <v>96</v>
      </c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8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>
        <v>97</v>
      </c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8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>
        <v>98</v>
      </c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8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>
        <v>99</v>
      </c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8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>
        <v>100</v>
      </c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8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>
        <v>101</v>
      </c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8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>
        <v>102</v>
      </c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8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>
        <v>103</v>
      </c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8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>
        <v>104</v>
      </c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8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>
        <v>105</v>
      </c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8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>
        <v>106</v>
      </c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8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>
        <v>107</v>
      </c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8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>
        <v>108</v>
      </c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8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>
        <v>109</v>
      </c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8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>
        <v>110</v>
      </c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8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>
        <v>111</v>
      </c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8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>
        <v>112</v>
      </c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8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>
        <v>113</v>
      </c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8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>
        <v>114</v>
      </c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8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>
        <v>115</v>
      </c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8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>
        <v>116</v>
      </c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8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>
        <v>117</v>
      </c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8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>
        <v>118</v>
      </c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8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>
        <v>119</v>
      </c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8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>
        <v>120</v>
      </c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8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>
        <v>121</v>
      </c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8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>
        <v>122</v>
      </c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8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>
        <v>123</v>
      </c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8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>
        <v>124</v>
      </c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8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>
        <v>125</v>
      </c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8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>
        <v>126</v>
      </c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8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>
        <v>127</v>
      </c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8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>
        <v>128</v>
      </c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8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>
        <v>129</v>
      </c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8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>
        <v>130</v>
      </c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8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>
        <v>131</v>
      </c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8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>
        <v>132</v>
      </c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8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>
        <v>133</v>
      </c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8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>
        <v>134</v>
      </c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8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>
        <v>135</v>
      </c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8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>
        <v>136</v>
      </c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8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>
        <v>137</v>
      </c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8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>
        <v>138</v>
      </c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8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>
        <v>139</v>
      </c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8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>
        <v>140</v>
      </c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8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>
        <v>141</v>
      </c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8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>
        <v>142</v>
      </c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8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>
        <v>143</v>
      </c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8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>
        <v>144</v>
      </c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8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>
        <v>145</v>
      </c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8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>
        <v>146</v>
      </c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8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>
        <v>147</v>
      </c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8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>
        <v>148</v>
      </c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8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>
        <v>149</v>
      </c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8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>
        <v>150</v>
      </c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8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>
        <v>151</v>
      </c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8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>
        <v>152</v>
      </c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8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>
        <v>153</v>
      </c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8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>
        <v>154</v>
      </c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8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>
        <v>155</v>
      </c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8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>
        <v>156</v>
      </c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8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>
        <v>157</v>
      </c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8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>
        <v>158</v>
      </c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8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>
        <v>159</v>
      </c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8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>
        <v>160</v>
      </c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8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>
        <v>161</v>
      </c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8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>
        <v>162</v>
      </c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8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>
        <v>163</v>
      </c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8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>
        <v>164</v>
      </c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8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>
        <v>165</v>
      </c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8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>
        <v>166</v>
      </c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8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>
        <v>167</v>
      </c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8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>
        <v>168</v>
      </c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8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>
        <v>169</v>
      </c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8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>
        <v>170</v>
      </c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8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>
        <v>171</v>
      </c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8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>
        <v>172</v>
      </c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8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>
        <v>173</v>
      </c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8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>
        <v>174</v>
      </c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8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>
        <v>175</v>
      </c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8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>
        <v>176</v>
      </c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8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>
        <v>177</v>
      </c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>
        <v>178</v>
      </c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8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>
        <v>179</v>
      </c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8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>
        <v>180</v>
      </c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8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>
        <v>181</v>
      </c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8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>
        <v>182</v>
      </c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8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>
        <v>183</v>
      </c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8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>
        <v>184</v>
      </c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8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>
        <v>185</v>
      </c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8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>
        <v>186</v>
      </c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8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>
        <v>187</v>
      </c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8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>
        <v>188</v>
      </c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8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>
        <v>189</v>
      </c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8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>
        <v>190</v>
      </c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8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>
        <v>191</v>
      </c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8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>
        <v>192</v>
      </c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8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>
        <v>193</v>
      </c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8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>
        <v>194</v>
      </c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8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>
        <v>195</v>
      </c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8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>
        <v>196</v>
      </c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8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>
        <v>197</v>
      </c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8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>
        <v>198</v>
      </c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8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>
        <v>199</v>
      </c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8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>
        <v>200</v>
      </c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8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>
        <v>201</v>
      </c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8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>
        <v>202</v>
      </c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8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>
        <v>203</v>
      </c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8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>
        <v>204</v>
      </c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8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>
        <v>205</v>
      </c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8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>
        <v>206</v>
      </c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8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>
        <v>207</v>
      </c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8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>
        <v>208</v>
      </c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8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>
        <v>209</v>
      </c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8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>
        <v>210</v>
      </c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8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>
        <v>211</v>
      </c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8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>
        <v>212</v>
      </c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8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>
        <v>213</v>
      </c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8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>
        <v>214</v>
      </c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8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>
        <v>215</v>
      </c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8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>
        <v>216</v>
      </c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8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>
        <v>217</v>
      </c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8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>
        <v>218</v>
      </c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8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>
        <v>219</v>
      </c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8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>
        <v>220</v>
      </c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8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>
        <v>221</v>
      </c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8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>
        <v>222</v>
      </c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8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>
        <v>223</v>
      </c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8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>
        <v>224</v>
      </c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8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>
        <v>225</v>
      </c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8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>
        <v>226</v>
      </c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8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>
        <v>227</v>
      </c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8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>
        <v>228</v>
      </c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8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>
        <v>229</v>
      </c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8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>
        <v>230</v>
      </c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8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>
        <v>231</v>
      </c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8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>
        <v>232</v>
      </c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8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>
        <v>233</v>
      </c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8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>
        <v>234</v>
      </c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8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>
        <v>235</v>
      </c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8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>
        <v>236</v>
      </c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8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>
        <v>237</v>
      </c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8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>
        <v>238</v>
      </c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8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>
        <v>239</v>
      </c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8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>
        <v>240</v>
      </c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8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>
        <v>241</v>
      </c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8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>
        <v>242</v>
      </c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8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>
        <v>243</v>
      </c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8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>
        <v>244</v>
      </c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8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>
        <v>245</v>
      </c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8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>
        <v>246</v>
      </c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8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>
        <v>247</v>
      </c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8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>
        <v>248</v>
      </c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8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>
        <v>249</v>
      </c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8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>
        <v>250</v>
      </c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8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>
        <v>251</v>
      </c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8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>
        <v>252</v>
      </c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8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>
        <v>253</v>
      </c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8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>
        <v>254</v>
      </c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8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>
        <v>255</v>
      </c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8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>
        <v>256</v>
      </c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8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>
        <v>257</v>
      </c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8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>
        <v>258</v>
      </c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8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>
        <v>259</v>
      </c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8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>
        <v>260</v>
      </c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8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>
        <v>261</v>
      </c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8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>
        <v>262</v>
      </c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8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>
        <v>263</v>
      </c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8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>
        <v>264</v>
      </c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8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>
        <v>265</v>
      </c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8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>
        <v>266</v>
      </c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8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>
        <v>267</v>
      </c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8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>
        <v>268</v>
      </c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8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>
        <v>269</v>
      </c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8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>
        <v>270</v>
      </c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8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>
        <v>271</v>
      </c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8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>
        <v>272</v>
      </c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8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>
        <v>273</v>
      </c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8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>
        <v>274</v>
      </c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8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>
        <v>275</v>
      </c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8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>
        <v>276</v>
      </c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8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>
        <v>277</v>
      </c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>
        <v>278</v>
      </c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8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>
        <v>279</v>
      </c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8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>
        <v>280</v>
      </c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8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>
        <v>281</v>
      </c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8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>
        <v>282</v>
      </c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8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>
        <v>283</v>
      </c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8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>
        <v>284</v>
      </c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8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>
        <v>285</v>
      </c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8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>
        <v>286</v>
      </c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8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>
        <v>287</v>
      </c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8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>
        <v>288</v>
      </c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8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>
        <v>289</v>
      </c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8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>
        <v>290</v>
      </c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8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>
        <v>291</v>
      </c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8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>
        <v>292</v>
      </c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8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>
        <v>293</v>
      </c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8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>
        <v>294</v>
      </c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8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>
        <v>295</v>
      </c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8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>
        <v>296</v>
      </c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8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>
        <v>297</v>
      </c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8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>
        <v>298</v>
      </c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8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>
        <v>299</v>
      </c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8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>
        <v>300</v>
      </c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8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>
        <v>301</v>
      </c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8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>
        <v>302</v>
      </c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8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>
        <v>303</v>
      </c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8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>
        <v>304</v>
      </c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8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>
        <v>305</v>
      </c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8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>
        <v>306</v>
      </c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8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>
        <v>307</v>
      </c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8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>
        <v>308</v>
      </c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8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>
        <v>309</v>
      </c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8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>
        <v>310</v>
      </c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8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>
        <v>311</v>
      </c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8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>
        <v>312</v>
      </c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8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>
        <v>313</v>
      </c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8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>
        <v>314</v>
      </c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8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>
        <v>315</v>
      </c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8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>
        <v>316</v>
      </c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8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>
        <v>317</v>
      </c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8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>
        <v>318</v>
      </c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8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>
        <v>319</v>
      </c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8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>
        <v>320</v>
      </c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8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>
        <v>321</v>
      </c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8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>
        <v>322</v>
      </c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8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>
        <v>323</v>
      </c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8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>
        <v>324</v>
      </c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8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>
        <v>325</v>
      </c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8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>
        <v>326</v>
      </c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8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>
        <v>327</v>
      </c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8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>
        <v>328</v>
      </c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8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>
        <v>329</v>
      </c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8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>
        <v>330</v>
      </c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8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>
        <v>331</v>
      </c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8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>
        <v>332</v>
      </c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8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>
        <v>333</v>
      </c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8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>
        <v>334</v>
      </c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8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>
        <v>335</v>
      </c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8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>
        <v>336</v>
      </c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8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>
        <v>337</v>
      </c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8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>
        <v>338</v>
      </c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8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>
        <v>339</v>
      </c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8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>
        <v>340</v>
      </c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8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>
        <v>341</v>
      </c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8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>
        <v>342</v>
      </c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8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>
        <v>343</v>
      </c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8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>
        <v>344</v>
      </c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8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>
        <v>345</v>
      </c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8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>
        <v>346</v>
      </c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8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>
        <v>347</v>
      </c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8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>
        <v>348</v>
      </c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8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>
        <v>349</v>
      </c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8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>
        <v>350</v>
      </c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8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>
        <v>351</v>
      </c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8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>
        <v>352</v>
      </c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8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>
        <v>353</v>
      </c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8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>
        <v>354</v>
      </c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8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>
        <v>355</v>
      </c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8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>
        <v>356</v>
      </c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8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>
        <v>357</v>
      </c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8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>
        <v>358</v>
      </c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8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>
        <v>359</v>
      </c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8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>
        <v>360</v>
      </c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8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>
        <v>361</v>
      </c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8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>
        <v>362</v>
      </c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8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>
        <v>363</v>
      </c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8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>
        <v>364</v>
      </c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8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>
        <v>365</v>
      </c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8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>
        <v>366</v>
      </c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8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>
        <v>367</v>
      </c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8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>
        <v>368</v>
      </c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8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>
        <v>369</v>
      </c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8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>
        <v>370</v>
      </c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8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>
        <v>371</v>
      </c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8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>
        <v>372</v>
      </c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8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>
        <v>373</v>
      </c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8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>
        <v>374</v>
      </c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8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>
        <v>375</v>
      </c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8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>
        <v>376</v>
      </c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8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>
        <v>377</v>
      </c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>
        <v>378</v>
      </c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8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>
        <v>379</v>
      </c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8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>
        <v>380</v>
      </c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8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>
        <v>381</v>
      </c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8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>
        <v>382</v>
      </c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8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>
        <v>383</v>
      </c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8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>
        <v>384</v>
      </c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8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>
        <v>385</v>
      </c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8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>
        <v>386</v>
      </c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8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>
        <v>387</v>
      </c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8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>
        <v>388</v>
      </c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8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>
        <v>389</v>
      </c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8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>
        <v>390</v>
      </c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8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>
        <v>391</v>
      </c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8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>
        <v>392</v>
      </c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8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>
        <v>393</v>
      </c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8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>
        <v>394</v>
      </c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8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>
        <v>395</v>
      </c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8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>
        <v>396</v>
      </c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8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>
        <v>397</v>
      </c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8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>
        <v>398</v>
      </c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8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>
        <v>399</v>
      </c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8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>
        <v>400</v>
      </c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8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>
        <v>401</v>
      </c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8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>
        <v>402</v>
      </c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8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>
        <v>403</v>
      </c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8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>
        <v>404</v>
      </c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8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>
        <v>405</v>
      </c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8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>
        <v>406</v>
      </c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8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>
        <v>407</v>
      </c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8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>
        <v>408</v>
      </c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8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>
        <v>409</v>
      </c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8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>
        <v>410</v>
      </c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8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>
        <v>411</v>
      </c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8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>
        <v>412</v>
      </c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8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>
        <v>413</v>
      </c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8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>
        <v>414</v>
      </c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8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>
        <v>415</v>
      </c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8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>
        <v>416</v>
      </c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8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>
        <v>417</v>
      </c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8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>
        <v>418</v>
      </c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8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>
        <v>419</v>
      </c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8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>
        <v>420</v>
      </c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8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>
        <v>421</v>
      </c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8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>
        <v>422</v>
      </c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8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>
        <v>423</v>
      </c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8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>
        <v>424</v>
      </c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8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>
        <v>425</v>
      </c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8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>
        <v>426</v>
      </c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8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>
        <v>427</v>
      </c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8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>
        <v>428</v>
      </c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8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>
        <v>429</v>
      </c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8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>
        <v>430</v>
      </c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8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>
        <v>431</v>
      </c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8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>
        <v>432</v>
      </c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8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>
        <v>433</v>
      </c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8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>
        <v>434</v>
      </c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8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>
        <v>435</v>
      </c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8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>
        <v>436</v>
      </c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8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>
        <v>437</v>
      </c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8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>
        <v>438</v>
      </c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8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>
        <v>439</v>
      </c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8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>
        <v>440</v>
      </c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8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>
        <v>441</v>
      </c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8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>
        <v>442</v>
      </c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8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>
        <v>443</v>
      </c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8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>
        <v>444</v>
      </c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8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>
        <v>445</v>
      </c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8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>
        <v>446</v>
      </c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8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>
        <v>447</v>
      </c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8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>
        <v>448</v>
      </c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8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>
        <v>449</v>
      </c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8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>
        <v>450</v>
      </c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8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>
        <v>451</v>
      </c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8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>
        <v>452</v>
      </c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8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>
        <v>453</v>
      </c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8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>
        <v>454</v>
      </c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8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>
        <v>455</v>
      </c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8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>
        <v>456</v>
      </c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8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>
        <v>457</v>
      </c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8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>
        <v>458</v>
      </c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8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>
        <v>459</v>
      </c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8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>
        <v>460</v>
      </c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8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>
        <v>461</v>
      </c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8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>
        <v>462</v>
      </c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8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>
        <v>463</v>
      </c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8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>
        <v>464</v>
      </c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8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>
        <v>465</v>
      </c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8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>
        <v>466</v>
      </c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8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>
        <v>467</v>
      </c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8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>
        <v>468</v>
      </c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8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>
        <v>469</v>
      </c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8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>
        <v>470</v>
      </c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8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>
        <v>471</v>
      </c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8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>
        <v>472</v>
      </c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8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>
        <v>473</v>
      </c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8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>
        <v>474</v>
      </c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8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>
        <v>475</v>
      </c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8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>
        <v>476</v>
      </c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8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>
        <v>477</v>
      </c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>
        <v>478</v>
      </c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8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>
        <v>479</v>
      </c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8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>
        <v>480</v>
      </c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8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>
        <v>481</v>
      </c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8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>
        <v>482</v>
      </c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8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>
        <v>483</v>
      </c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8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>
        <v>484</v>
      </c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8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>
        <v>485</v>
      </c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8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>
        <v>486</v>
      </c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8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>
        <v>487</v>
      </c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8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>
        <v>488</v>
      </c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8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>
        <v>489</v>
      </c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8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>
        <v>490</v>
      </c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8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>
        <v>491</v>
      </c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8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>
        <v>492</v>
      </c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8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>
        <v>493</v>
      </c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8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>
        <v>494</v>
      </c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8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>
        <v>495</v>
      </c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8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>
        <v>496</v>
      </c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8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>
        <v>497</v>
      </c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8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>
        <v>498</v>
      </c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8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>
        <v>499</v>
      </c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8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>
        <v>500</v>
      </c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8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>
        <v>501</v>
      </c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8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>
        <v>502</v>
      </c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8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>
        <v>503</v>
      </c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8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>
        <v>504</v>
      </c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8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>
        <v>505</v>
      </c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8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>
        <v>506</v>
      </c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8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>
        <v>507</v>
      </c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8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>
        <v>508</v>
      </c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8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>
        <v>509</v>
      </c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8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>
        <v>510</v>
      </c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8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>
        <v>511</v>
      </c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8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>
        <v>512</v>
      </c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8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>
        <v>513</v>
      </c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8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>
        <v>514</v>
      </c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8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>
        <v>515</v>
      </c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8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>
        <v>516</v>
      </c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8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>
        <v>517</v>
      </c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8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>
        <v>518</v>
      </c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8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>
        <v>519</v>
      </c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8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>
        <v>520</v>
      </c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8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>
        <v>521</v>
      </c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8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>
        <v>522</v>
      </c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8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>
        <v>523</v>
      </c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8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>
        <v>524</v>
      </c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8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>
        <v>525</v>
      </c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8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>
        <v>526</v>
      </c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8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>
        <v>527</v>
      </c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8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>
        <v>528</v>
      </c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8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>
        <v>529</v>
      </c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8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>
        <v>530</v>
      </c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8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>
        <v>531</v>
      </c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8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>
        <v>532</v>
      </c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8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>
        <v>533</v>
      </c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8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>
        <v>534</v>
      </c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8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>
        <v>535</v>
      </c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8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>
        <v>536</v>
      </c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8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>
        <v>537</v>
      </c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8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>
        <v>538</v>
      </c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8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>
        <v>539</v>
      </c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8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>
        <v>540</v>
      </c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8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>
        <v>541</v>
      </c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8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>
        <v>542</v>
      </c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8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>
        <v>543</v>
      </c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8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>
        <v>544</v>
      </c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8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>
        <v>545</v>
      </c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8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>
        <v>546</v>
      </c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8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>
        <v>547</v>
      </c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8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>
        <v>548</v>
      </c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8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>
        <v>549</v>
      </c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8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>
        <v>550</v>
      </c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8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>
        <v>551</v>
      </c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8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>
        <v>552</v>
      </c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8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>
        <v>553</v>
      </c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8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>
        <v>554</v>
      </c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8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>
        <v>555</v>
      </c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8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>
        <v>556</v>
      </c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8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>
        <v>557</v>
      </c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8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>
        <v>558</v>
      </c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8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>
        <v>559</v>
      </c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8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>
        <v>560</v>
      </c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8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>
        <v>561</v>
      </c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8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>
        <v>562</v>
      </c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8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>
        <v>563</v>
      </c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8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>
        <v>564</v>
      </c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8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>
        <v>565</v>
      </c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8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>
        <v>566</v>
      </c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8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>
        <v>567</v>
      </c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8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>
        <v>568</v>
      </c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8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>
        <v>569</v>
      </c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8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>
        <v>570</v>
      </c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8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>
        <v>571</v>
      </c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8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>
        <v>572</v>
      </c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8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>
        <v>573</v>
      </c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8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>
        <v>574</v>
      </c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8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>
        <v>575</v>
      </c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8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>
        <v>576</v>
      </c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8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>
        <v>577</v>
      </c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>
        <v>578</v>
      </c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8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>
        <v>579</v>
      </c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8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>
        <v>580</v>
      </c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8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>
        <v>581</v>
      </c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8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>
        <v>582</v>
      </c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8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>
        <v>583</v>
      </c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8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>
        <v>584</v>
      </c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8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>
        <v>585</v>
      </c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8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>
        <v>586</v>
      </c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8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>
        <v>587</v>
      </c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8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>
        <v>588</v>
      </c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8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>
        <v>589</v>
      </c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8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>
        <v>590</v>
      </c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8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>
        <v>591</v>
      </c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8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>
        <v>592</v>
      </c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8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>
        <v>593</v>
      </c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8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>
        <v>594</v>
      </c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8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>
        <v>595</v>
      </c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8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>
        <v>596</v>
      </c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8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>
        <v>597</v>
      </c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8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>
        <v>598</v>
      </c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8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>
        <v>599</v>
      </c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8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>
        <v>600</v>
      </c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8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>
        <v>601</v>
      </c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8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>
        <v>602</v>
      </c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8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>
        <v>603</v>
      </c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8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>
        <v>604</v>
      </c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8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>
        <v>605</v>
      </c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8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>
        <v>606</v>
      </c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8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>
        <v>607</v>
      </c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8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>
        <v>608</v>
      </c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8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>
        <v>609</v>
      </c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8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>
        <v>610</v>
      </c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8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>
        <v>611</v>
      </c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8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>
        <v>612</v>
      </c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8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>
        <v>613</v>
      </c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8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>
        <v>614</v>
      </c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8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>
        <v>615</v>
      </c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8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>
        <v>616</v>
      </c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8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>
        <v>617</v>
      </c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8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>
        <v>618</v>
      </c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8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>
        <v>619</v>
      </c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8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>
        <v>620</v>
      </c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8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>
        <v>621</v>
      </c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8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>
        <v>622</v>
      </c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8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>
        <v>623</v>
      </c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8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>
        <v>624</v>
      </c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8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>
        <v>625</v>
      </c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8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>
        <v>626</v>
      </c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8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>
        <v>627</v>
      </c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8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>
        <v>628</v>
      </c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8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>
        <v>629</v>
      </c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8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>
        <v>630</v>
      </c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8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>
        <v>631</v>
      </c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8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>
        <v>632</v>
      </c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8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>
        <v>633</v>
      </c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8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>
        <v>634</v>
      </c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8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>
        <v>635</v>
      </c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8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>
        <v>636</v>
      </c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8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>
        <v>637</v>
      </c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8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>
        <v>638</v>
      </c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8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>
        <v>639</v>
      </c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8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>
        <v>640</v>
      </c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8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>
        <v>641</v>
      </c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8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>
        <v>642</v>
      </c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8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>
        <v>643</v>
      </c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8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>
        <v>644</v>
      </c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8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>
        <v>645</v>
      </c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8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>
        <v>646</v>
      </c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8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>
        <v>647</v>
      </c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8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>
        <v>648</v>
      </c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8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>
        <v>649</v>
      </c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8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>
        <v>650</v>
      </c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8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>
        <v>651</v>
      </c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8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>
        <v>652</v>
      </c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8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>
        <v>653</v>
      </c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8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>
        <v>654</v>
      </c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8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>
        <v>655</v>
      </c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8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>
        <v>656</v>
      </c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8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>
        <v>657</v>
      </c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8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>
        <v>658</v>
      </c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8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>
        <v>659</v>
      </c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8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>
        <v>660</v>
      </c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8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>
        <v>661</v>
      </c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8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>
        <v>662</v>
      </c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8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>
        <v>663</v>
      </c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8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>
        <v>664</v>
      </c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8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>
        <v>665</v>
      </c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8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>
        <v>666</v>
      </c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8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>
        <v>667</v>
      </c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8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>
        <v>668</v>
      </c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8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>
        <v>669</v>
      </c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8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>
        <v>670</v>
      </c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8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>
        <v>671</v>
      </c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8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>
        <v>672</v>
      </c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8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>
        <v>673</v>
      </c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8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>
        <v>674</v>
      </c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8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>
        <v>675</v>
      </c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8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>
        <v>676</v>
      </c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8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>
        <v>677</v>
      </c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>
        <v>678</v>
      </c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8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>
        <v>679</v>
      </c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8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>
        <v>680</v>
      </c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8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>
        <v>681</v>
      </c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8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>
        <v>682</v>
      </c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8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>
        <v>683</v>
      </c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8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>
        <v>684</v>
      </c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8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>
        <v>685</v>
      </c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8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>
        <v>686</v>
      </c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8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>
        <v>687</v>
      </c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8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>
        <v>688</v>
      </c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8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>
        <v>689</v>
      </c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8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>
        <v>690</v>
      </c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8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>
        <v>691</v>
      </c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8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>
        <v>692</v>
      </c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8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>
        <v>693</v>
      </c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8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>
        <v>694</v>
      </c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8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>
        <v>695</v>
      </c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8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>
        <v>696</v>
      </c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8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>
        <v>697</v>
      </c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8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>
        <v>698</v>
      </c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8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>
        <v>699</v>
      </c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8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>
        <v>700</v>
      </c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8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>
        <v>701</v>
      </c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8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>
        <v>702</v>
      </c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8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>
        <v>703</v>
      </c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8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>
        <v>704</v>
      </c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8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>
        <v>705</v>
      </c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8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>
        <v>706</v>
      </c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8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>
        <v>707</v>
      </c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8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>
        <v>708</v>
      </c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8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>
        <v>709</v>
      </c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8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>
        <v>710</v>
      </c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8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>
        <v>711</v>
      </c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8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>
        <v>712</v>
      </c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8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>
        <v>713</v>
      </c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8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>
        <v>714</v>
      </c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8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>
        <v>715</v>
      </c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8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>
        <v>716</v>
      </c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8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>
        <v>717</v>
      </c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8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>
        <v>718</v>
      </c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8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>
        <v>719</v>
      </c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8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>
        <v>720</v>
      </c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8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>
        <v>721</v>
      </c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8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>
        <v>722</v>
      </c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8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>
        <v>723</v>
      </c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8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>
        <v>724</v>
      </c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8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>
        <v>725</v>
      </c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8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>
        <v>726</v>
      </c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8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>
        <v>727</v>
      </c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8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>
        <v>728</v>
      </c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8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>
        <v>729</v>
      </c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8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>
        <v>730</v>
      </c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8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>
        <v>731</v>
      </c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8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>
        <v>732</v>
      </c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8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>
        <v>733</v>
      </c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8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>
        <v>734</v>
      </c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8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>
        <v>735</v>
      </c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8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>
        <v>736</v>
      </c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8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>
        <v>737</v>
      </c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8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>
        <v>738</v>
      </c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8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>
        <v>739</v>
      </c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8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>
        <v>740</v>
      </c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8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>
        <v>741</v>
      </c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8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>
        <v>742</v>
      </c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8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>
        <v>743</v>
      </c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8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>
        <v>744</v>
      </c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8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>
        <v>745</v>
      </c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8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>
        <v>746</v>
      </c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8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>
        <v>747</v>
      </c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8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>
        <v>748</v>
      </c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8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>
        <v>749</v>
      </c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8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>
        <v>750</v>
      </c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8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>
        <v>751</v>
      </c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8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>
        <v>752</v>
      </c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8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>
        <v>753</v>
      </c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8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>
        <v>754</v>
      </c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8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>
        <v>755</v>
      </c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8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>
        <v>756</v>
      </c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8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>
        <v>757</v>
      </c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8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>
        <v>758</v>
      </c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8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>
        <v>759</v>
      </c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8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>
        <v>760</v>
      </c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8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>
        <v>761</v>
      </c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8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>
        <v>762</v>
      </c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8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>
        <v>763</v>
      </c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8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>
        <v>764</v>
      </c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8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>
        <v>765</v>
      </c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8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>
        <v>766</v>
      </c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8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>
        <v>767</v>
      </c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8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>
        <v>768</v>
      </c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8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>
        <v>769</v>
      </c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8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>
        <v>770</v>
      </c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8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>
        <v>771</v>
      </c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8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>
        <v>772</v>
      </c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8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>
        <v>773</v>
      </c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8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>
        <v>774</v>
      </c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8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>
        <v>775</v>
      </c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8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>
        <v>776</v>
      </c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8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>
        <v>777</v>
      </c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>
        <v>778</v>
      </c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8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>
        <v>779</v>
      </c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8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>
        <v>780</v>
      </c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8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>
        <v>781</v>
      </c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8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>
        <v>782</v>
      </c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8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>
        <v>783</v>
      </c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8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>
        <v>784</v>
      </c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8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>
        <v>785</v>
      </c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8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>
        <v>786</v>
      </c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8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>
        <v>787</v>
      </c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8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>
        <v>788</v>
      </c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8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>
        <v>789</v>
      </c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8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>
        <v>790</v>
      </c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8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>
        <v>791</v>
      </c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8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>
        <v>792</v>
      </c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8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>
        <v>793</v>
      </c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8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>
        <v>794</v>
      </c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8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>
        <v>795</v>
      </c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8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>
        <v>796</v>
      </c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8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>
        <v>797</v>
      </c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8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>
        <v>798</v>
      </c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8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>
        <v>799</v>
      </c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8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>
        <v>800</v>
      </c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8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>
        <v>801</v>
      </c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8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>
        <v>802</v>
      </c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8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>
        <v>803</v>
      </c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8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>
        <v>804</v>
      </c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8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>
        <v>805</v>
      </c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8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>
        <v>806</v>
      </c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8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>
        <v>807</v>
      </c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8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>
        <v>808</v>
      </c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8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>
        <v>809</v>
      </c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8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>
        <v>810</v>
      </c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8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>
        <v>811</v>
      </c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8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>
        <v>812</v>
      </c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8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>
        <v>813</v>
      </c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8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>
        <v>814</v>
      </c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8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>
        <v>815</v>
      </c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8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>
        <v>816</v>
      </c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8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>
        <v>817</v>
      </c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8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>
        <v>818</v>
      </c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8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>
        <v>819</v>
      </c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8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>
        <v>820</v>
      </c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8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>
        <v>821</v>
      </c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8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>
        <v>822</v>
      </c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8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>
        <v>823</v>
      </c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8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>
        <v>824</v>
      </c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8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>
        <v>825</v>
      </c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8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>
        <v>826</v>
      </c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8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>
        <v>827</v>
      </c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8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>
        <v>828</v>
      </c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8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>
        <v>829</v>
      </c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8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>
        <v>830</v>
      </c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8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>
        <v>831</v>
      </c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8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>
        <v>832</v>
      </c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8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>
        <v>833</v>
      </c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8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>
        <v>834</v>
      </c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8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>
        <v>835</v>
      </c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8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>
        <v>836</v>
      </c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8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>
        <v>837</v>
      </c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8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>
        <v>838</v>
      </c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8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>
        <v>839</v>
      </c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8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>
        <v>840</v>
      </c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8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>
        <v>841</v>
      </c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8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>
        <v>842</v>
      </c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8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>
        <v>843</v>
      </c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8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>
        <v>844</v>
      </c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8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>
        <v>845</v>
      </c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8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>
        <v>846</v>
      </c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8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>
        <v>847</v>
      </c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8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>
        <v>848</v>
      </c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8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>
        <v>849</v>
      </c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8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>
        <v>850</v>
      </c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8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>
        <v>851</v>
      </c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8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>
        <v>852</v>
      </c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8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>
        <v>853</v>
      </c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8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>
        <v>854</v>
      </c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8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>
        <v>855</v>
      </c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8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>
        <v>856</v>
      </c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8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>
        <v>857</v>
      </c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8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>
        <v>858</v>
      </c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8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>
        <v>859</v>
      </c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8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>
        <v>860</v>
      </c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8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>
        <v>861</v>
      </c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8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>
        <v>862</v>
      </c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8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>
        <v>863</v>
      </c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8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>
        <v>864</v>
      </c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8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>
        <v>865</v>
      </c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8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>
        <v>866</v>
      </c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8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>
        <v>867</v>
      </c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8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>
        <v>868</v>
      </c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8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>
        <v>869</v>
      </c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8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>
        <v>870</v>
      </c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8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>
        <v>871</v>
      </c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8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>
        <v>872</v>
      </c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8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>
        <v>873</v>
      </c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8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>
        <v>874</v>
      </c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8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>
        <v>875</v>
      </c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8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>
        <v>876</v>
      </c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8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>
        <v>877</v>
      </c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>
        <v>878</v>
      </c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8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>
        <v>879</v>
      </c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8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>
        <v>880</v>
      </c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8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>
        <v>881</v>
      </c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8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>
        <v>882</v>
      </c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8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>
        <v>883</v>
      </c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8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>
        <v>884</v>
      </c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8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>
        <v>885</v>
      </c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8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>
        <v>886</v>
      </c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8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>
        <v>887</v>
      </c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8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>
        <v>888</v>
      </c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8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>
        <v>889</v>
      </c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8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>
        <v>890</v>
      </c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8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>
        <v>891</v>
      </c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8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>
        <v>892</v>
      </c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8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>
        <v>893</v>
      </c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8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>
        <v>894</v>
      </c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8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>
        <v>895</v>
      </c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8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>
        <v>896</v>
      </c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8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>
        <v>897</v>
      </c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8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>
        <v>898</v>
      </c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8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>
        <v>899</v>
      </c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8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>
        <v>900</v>
      </c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8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>
        <v>901</v>
      </c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8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>
        <v>902</v>
      </c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8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>
        <v>903</v>
      </c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8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>
        <v>904</v>
      </c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8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>
        <v>905</v>
      </c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8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>
        <v>906</v>
      </c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8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>
        <v>907</v>
      </c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8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>
        <v>908</v>
      </c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8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>
        <v>909</v>
      </c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8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>
        <v>910</v>
      </c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8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>
        <v>911</v>
      </c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8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>
        <v>912</v>
      </c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8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>
        <v>913</v>
      </c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8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>
        <v>914</v>
      </c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8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>
        <v>915</v>
      </c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8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>
        <v>916</v>
      </c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8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>
        <v>917</v>
      </c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8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>
        <v>918</v>
      </c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8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>
        <v>919</v>
      </c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8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>
        <v>920</v>
      </c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8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>
        <v>921</v>
      </c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8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>
        <v>922</v>
      </c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8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>
        <v>923</v>
      </c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8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>
        <v>924</v>
      </c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8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>
        <v>925</v>
      </c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8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>
        <v>926</v>
      </c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8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>
        <v>927</v>
      </c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8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>
        <v>928</v>
      </c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8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>
        <v>929</v>
      </c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8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>
        <v>930</v>
      </c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8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>
        <v>931</v>
      </c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8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>
        <v>932</v>
      </c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8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>
        <v>933</v>
      </c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8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>
        <v>934</v>
      </c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8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>
        <v>935</v>
      </c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8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>
        <v>936</v>
      </c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8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>
        <v>937</v>
      </c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8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>
        <v>938</v>
      </c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8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>
        <v>939</v>
      </c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8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>
        <v>940</v>
      </c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8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>
        <v>941</v>
      </c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8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>
        <v>942</v>
      </c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8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>
        <v>943</v>
      </c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8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>
        <v>944</v>
      </c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8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>
        <v>945</v>
      </c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8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>
        <v>946</v>
      </c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8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>
        <v>947</v>
      </c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8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>
        <v>948</v>
      </c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8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>
        <v>949</v>
      </c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8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>
        <v>950</v>
      </c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8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>
        <v>951</v>
      </c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8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>
        <v>952</v>
      </c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8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>
        <v>953</v>
      </c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8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>
        <v>954</v>
      </c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8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>
        <v>955</v>
      </c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8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>
        <v>956</v>
      </c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8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>
        <v>957</v>
      </c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8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>
        <v>958</v>
      </c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8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>
        <v>959</v>
      </c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8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>
        <v>960</v>
      </c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8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>
        <v>961</v>
      </c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8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>
        <v>962</v>
      </c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8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>
        <v>963</v>
      </c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8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>
        <v>964</v>
      </c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8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>
        <v>965</v>
      </c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8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>
        <v>966</v>
      </c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8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>
        <v>967</v>
      </c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8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>
        <v>968</v>
      </c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8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>
        <v>969</v>
      </c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8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>
        <v>970</v>
      </c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8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>
        <v>971</v>
      </c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8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>
        <v>972</v>
      </c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8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>
        <v>973</v>
      </c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8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>
        <v>974</v>
      </c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8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>
        <v>975</v>
      </c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8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>
        <v>976</v>
      </c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8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>
        <v>977</v>
      </c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>
        <v>978</v>
      </c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8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>
        <v>979</v>
      </c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8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>
        <v>980</v>
      </c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8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>
        <v>981</v>
      </c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8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>
        <v>982</v>
      </c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8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>
        <v>983</v>
      </c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8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>
        <v>984</v>
      </c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8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>
        <v>985</v>
      </c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8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>
        <v>986</v>
      </c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8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>
        <v>987</v>
      </c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8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>
        <v>988</v>
      </c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8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>
        <v>989</v>
      </c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  <row r="1001" ht="12.75" customHeight="1" s="189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>
        <v>990</v>
      </c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</row>
    <row r="1002" ht="12.75" customHeight="1" s="189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>
        <v>991</v>
      </c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  <c r="Z1002" s="1" t="n"/>
    </row>
    <row r="1003" ht="12.75" customHeight="1" s="189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>
        <v>992</v>
      </c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  <c r="Z1003" s="1" t="n"/>
    </row>
    <row r="1004" ht="12.75" customHeight="1" s="189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>
        <v>993</v>
      </c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  <c r="Z1004" s="1" t="n"/>
    </row>
    <row r="1005" ht="12.75" customHeight="1" s="189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>
        <v>994</v>
      </c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  <c r="Z1005" s="1" t="n"/>
    </row>
    <row r="1006" ht="12.75" customHeight="1" s="189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>
        <v>995</v>
      </c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  <c r="Z1006" s="1" t="n"/>
    </row>
    <row r="1007" ht="12.75" customHeight="1" s="189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>
        <v>996</v>
      </c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  <c r="Z1007" s="1" t="n"/>
    </row>
    <row r="1008" ht="12.75" customHeight="1" s="189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>
        <v>997</v>
      </c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  <c r="Z1008" s="1" t="n"/>
    </row>
    <row r="1009" ht="12.75" customHeight="1" s="189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>
        <v>998</v>
      </c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  <c r="Z1009" s="1" t="n"/>
    </row>
    <row r="1010" ht="12.75" customHeight="1" s="189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>
        <v>999</v>
      </c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  <c r="Z1010" s="1" t="n"/>
    </row>
  </sheetData>
  <mergeCells count="2">
    <mergeCell ref="B2:D2"/>
    <mergeCell ref="A11:C11"/>
  </mergeCells>
  <dataValidations count="2">
    <dataValidation sqref="B13:B39" showDropDown="0" showInputMessage="0" showErrorMessage="1" allowBlank="1" type="custom">
      <formula1>AND(GTE(LEN(B13),MIN((1),(100))),LTE(LEN(B13),MAX((1),(100))))</formula1>
    </dataValidation>
    <dataValidation sqref="D13:D39" showDropDown="0" showInputMessage="0" showErrorMessage="1" allowBlank="1" type="list">
      <formula1>$B$7:$B$9</formula1>
    </dataValidation>
  </dataValidations>
  <pageMargins left="0.7875" right="0.7875" top="0.9840277777777779" bottom="0.9840277777777779" header="0" footer="0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9.130000000000001" customWidth="1" style="189" min="1" max="2"/>
    <col width="40.38" customWidth="1" style="189" min="3" max="3"/>
    <col width="5.25" customWidth="1" style="189" min="4" max="4"/>
    <col width="10.38" customWidth="1" style="189" min="5" max="5"/>
    <col width="9.130000000000001" customWidth="1" style="189" min="6" max="6"/>
    <col width="10" customWidth="1" style="189" min="7" max="7"/>
    <col width="62" customWidth="1" style="189" min="8" max="9"/>
    <col width="8.75" customWidth="1" style="189" min="10" max="26"/>
  </cols>
  <sheetData>
    <row r="1" ht="12.75" customHeight="1" s="189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2.75" customHeight="1" s="18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2.75" customHeight="1" s="189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" customHeight="1" s="189">
      <c r="A4" s="1" t="n"/>
      <c r="B4" s="220" t="inlineStr">
        <is>
          <t>Fatores de Complexidade</t>
        </is>
      </c>
      <c r="C4" s="221" t="n"/>
      <c r="D4" s="221" t="n"/>
      <c r="E4" s="22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75" customHeight="1" s="189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75" customHeight="1" s="18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189">
      <c r="A7" s="1" t="n"/>
      <c r="B7" s="223" t="inlineStr">
        <is>
          <t>Influência Tecnológica</t>
        </is>
      </c>
      <c r="C7" s="216" t="n"/>
      <c r="D7" s="216" t="n"/>
      <c r="E7" s="217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189">
      <c r="A8" s="1" t="n"/>
      <c r="B8" s="40" t="inlineStr">
        <is>
          <t>ID</t>
        </is>
      </c>
      <c r="C8" s="45" t="inlineStr">
        <is>
          <t>Descrição</t>
        </is>
      </c>
      <c r="D8" s="45" t="inlineStr">
        <is>
          <t>Peso</t>
        </is>
      </c>
      <c r="E8" s="45" t="inlineStr">
        <is>
          <t>Influência</t>
        </is>
      </c>
      <c r="F8" s="1" t="n"/>
      <c r="G8" s="1" t="n"/>
      <c r="H8" s="48" t="inlineStr">
        <is>
          <t>Justificativa / premissa</t>
        </is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189">
      <c r="A9" s="1" t="n"/>
      <c r="B9" s="46" t="inlineStr">
        <is>
          <t>T01</t>
        </is>
      </c>
      <c r="C9" s="53" t="inlineStr">
        <is>
          <t>Sistemas Distribuídos</t>
        </is>
      </c>
      <c r="D9" s="46" t="n">
        <v>2</v>
      </c>
      <c r="E9" s="46" t="n">
        <v>3</v>
      </c>
      <c r="F9" s="1" t="n"/>
      <c r="G9" s="1" t="n"/>
      <c r="H9" s="58" t="inlineStr">
        <is>
          <t>Aplicação web cliente-servidor com serviço de envio de avisos</t>
        </is>
      </c>
      <c r="I9" s="37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189">
      <c r="A10" s="1" t="n"/>
      <c r="B10" s="46" t="inlineStr">
        <is>
          <t>T02</t>
        </is>
      </c>
      <c r="C10" s="53" t="inlineStr">
        <is>
          <t>Tempo de resposta</t>
        </is>
      </c>
      <c r="D10" s="46" t="n">
        <v>1</v>
      </c>
      <c r="E10" s="46" t="n">
        <v>3</v>
      </c>
      <c r="F10" s="1" t="n"/>
      <c r="G10" s="1" t="n"/>
      <c r="H10" s="58" t="inlineStr">
        <is>
          <t>Filtros e tabelas precisam responder rápido</t>
        </is>
      </c>
      <c r="I10" s="37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189">
      <c r="A11" s="1" t="n"/>
      <c r="B11" s="46" t="inlineStr">
        <is>
          <t>T03</t>
        </is>
      </c>
      <c r="C11" s="53" t="inlineStr">
        <is>
          <t>Grau de escolaridade do usuário final</t>
        </is>
      </c>
      <c r="D11" s="46" t="n">
        <v>1</v>
      </c>
      <c r="E11" s="46" t="n">
        <v>3</v>
      </c>
      <c r="F11" s="1" t="n"/>
      <c r="G11" s="1" t="n"/>
      <c r="H11" s="58" t="inlineStr">
        <is>
          <t>Público geral, sem exigência de formação</t>
        </is>
      </c>
      <c r="I11" s="3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189">
      <c r="A12" s="1" t="n"/>
      <c r="B12" s="46" t="inlineStr">
        <is>
          <t>T04</t>
        </is>
      </c>
      <c r="C12" s="53" t="inlineStr">
        <is>
          <t>Processamento interno complexo</t>
        </is>
      </c>
      <c r="D12" s="46" t="n">
        <v>1</v>
      </c>
      <c r="E12" s="46" t="n">
        <v>2</v>
      </c>
      <c r="F12" s="1" t="n"/>
      <c r="G12" s="1" t="n"/>
      <c r="H12" s="58" t="inlineStr">
        <is>
          <t>Cálculo de classificação a partir dos resultados</t>
        </is>
      </c>
      <c r="I12" s="3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189">
      <c r="A13" s="1" t="n"/>
      <c r="B13" s="46" t="inlineStr">
        <is>
          <t>T05</t>
        </is>
      </c>
      <c r="C13" s="53" t="inlineStr">
        <is>
          <t>Reusabilidade do código em outras aplicações</t>
        </is>
      </c>
      <c r="D13" s="46" t="n">
        <v>1</v>
      </c>
      <c r="E13" s="46" t="n">
        <v>2</v>
      </c>
      <c r="F13" s="1" t="n"/>
      <c r="G13" s="1" t="n"/>
      <c r="H13" s="58" t="inlineStr">
        <is>
          <t>Cadastros básicos poderiam ser reaproveitados</t>
        </is>
      </c>
      <c r="I13" s="37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2.75" customHeight="1" s="189">
      <c r="A14" s="1" t="n"/>
      <c r="B14" s="46" t="inlineStr">
        <is>
          <t>T06</t>
        </is>
      </c>
      <c r="C14" s="53" t="inlineStr">
        <is>
          <t>Facilidade de instalação</t>
        </is>
      </c>
      <c r="D14" s="46" t="n">
        <v>0.5</v>
      </c>
      <c r="E14" s="46" t="n">
        <v>2</v>
      </c>
      <c r="F14" s="1" t="n"/>
      <c r="G14" s="1" t="n"/>
      <c r="H14" s="58" t="inlineStr">
        <is>
          <t>Hospedagem web, sem instalação pelo usuário</t>
        </is>
      </c>
      <c r="I14" s="37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189">
      <c r="A15" s="1" t="n"/>
      <c r="B15" s="46" t="inlineStr">
        <is>
          <t>T07</t>
        </is>
      </c>
      <c r="C15" s="53" t="inlineStr">
        <is>
          <t>Usabilidade (facilidade operacional)</t>
        </is>
      </c>
      <c r="D15" s="46" t="n">
        <v>0.5</v>
      </c>
      <c r="E15" s="46" t="n">
        <v>4</v>
      </c>
      <c r="F15" s="1" t="n"/>
      <c r="G15" s="1" t="n"/>
      <c r="H15" s="58" t="inlineStr">
        <is>
          <t>Uso frequente pelo celular por público amador</t>
        </is>
      </c>
      <c r="I15" s="37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.75" customHeight="1" s="189">
      <c r="A16" s="1" t="n"/>
      <c r="B16" s="46" t="inlineStr">
        <is>
          <t>T08</t>
        </is>
      </c>
      <c r="C16" s="53" t="inlineStr">
        <is>
          <t>Portabilidade</t>
        </is>
      </c>
      <c r="D16" s="46" t="n">
        <v>2</v>
      </c>
      <c r="E16" s="46" t="n">
        <v>4</v>
      </c>
      <c r="F16" s="1" t="n"/>
      <c r="G16" s="1" t="n"/>
      <c r="H16" s="58" t="inlineStr">
        <is>
          <t>Acesso por navegador, desktop e celular</t>
        </is>
      </c>
      <c r="I16" s="37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2.75" customHeight="1" s="189">
      <c r="A17" s="1" t="n"/>
      <c r="B17" s="46" t="inlineStr">
        <is>
          <t>T09</t>
        </is>
      </c>
      <c r="C17" s="53" t="inlineStr">
        <is>
          <t>Facilidade de manutenção</t>
        </is>
      </c>
      <c r="D17" s="46" t="n">
        <v>1</v>
      </c>
      <c r="E17" s="46" t="n">
        <v>3</v>
      </c>
      <c r="F17" s="1" t="n"/>
      <c r="G17" s="1" t="n"/>
      <c r="H17" s="58" t="inlineStr">
        <is>
          <t>Código organizado por casos de uso</t>
        </is>
      </c>
      <c r="I17" s="37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189">
      <c r="A18" s="1" t="n"/>
      <c r="B18" s="46" t="inlineStr">
        <is>
          <t>T10</t>
        </is>
      </c>
      <c r="C18" s="53" t="inlineStr">
        <is>
          <t>Concorrência</t>
        </is>
      </c>
      <c r="D18" s="46" t="n">
        <v>1</v>
      </c>
      <c r="E18" s="46" t="n">
        <v>3</v>
      </c>
      <c r="F18" s="1" t="n"/>
      <c r="G18" s="1" t="n"/>
      <c r="H18" s="58" t="inlineStr">
        <is>
          <t>Vários usuários consultando e inscrevendo ao mesmo tempo</t>
        </is>
      </c>
      <c r="I18" s="37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.75" customHeight="1" s="189">
      <c r="A19" s="1" t="n"/>
      <c r="B19" s="46" t="inlineStr">
        <is>
          <t>T11</t>
        </is>
      </c>
      <c r="C19" s="53" t="inlineStr">
        <is>
          <t>Características especiais de segurança</t>
        </is>
      </c>
      <c r="D19" s="46" t="n">
        <v>1</v>
      </c>
      <c r="E19" s="46" t="n">
        <v>3</v>
      </c>
      <c r="F19" s="1" t="n"/>
      <c r="G19" s="1" t="n"/>
      <c r="H19" s="58" t="inlineStr">
        <is>
          <t>Login e perfis de acesso (organizador, usuário, admin)</t>
        </is>
      </c>
      <c r="I19" s="37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189">
      <c r="A20" s="1" t="n"/>
      <c r="B20" s="46" t="inlineStr">
        <is>
          <t>T12</t>
        </is>
      </c>
      <c r="C20" s="53" t="inlineStr">
        <is>
          <t>Acesso direto para terceiros</t>
        </is>
      </c>
      <c r="D20" s="46" t="n">
        <v>1</v>
      </c>
      <c r="E20" s="46" t="n">
        <v>2</v>
      </c>
      <c r="F20" s="1" t="n"/>
      <c r="G20" s="1" t="n"/>
      <c r="H20" s="58" t="inlineStr">
        <is>
          <t>Apenas o serviço de e-mail/push como integração</t>
        </is>
      </c>
      <c r="I20" s="37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189">
      <c r="A21" s="1" t="n"/>
      <c r="B21" s="46" t="inlineStr">
        <is>
          <t>T13</t>
        </is>
      </c>
      <c r="C21" s="53" t="inlineStr">
        <is>
          <t>Facilidades especiais de treinamento</t>
        </is>
      </c>
      <c r="D21" s="46" t="n">
        <v>1</v>
      </c>
      <c r="E21" s="46" t="n">
        <v>1</v>
      </c>
      <c r="F21" s="1" t="n"/>
      <c r="G21" s="1" t="n"/>
      <c r="H21" s="58" t="inlineStr">
        <is>
          <t>Interface simples, sem treinamento formal</t>
        </is>
      </c>
      <c r="I21" s="37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189">
      <c r="A22" s="1" t="n"/>
      <c r="B22" s="224" t="inlineStr">
        <is>
          <t>Fator de Complexidade Técnica</t>
        </is>
      </c>
      <c r="C22" s="216" t="n"/>
      <c r="D22" s="217" t="n"/>
      <c r="E22" s="99">
        <f>0.6+(0.01*SUM(D9*E9,D10*E10,D11*E11,D12*E12,D13*E13,D14*E14,D15*E15,D16*E16,D17*E17,D18*E18,D19*E19,D20*E20,D21*E21))</f>
        <v/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.75" customHeight="1" s="18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189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.75" customHeight="1" s="18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.75" customHeight="1" s="189">
      <c r="A26" s="1" t="n"/>
      <c r="B26" s="225" t="inlineStr">
        <is>
          <t>Influência Ambiental</t>
        </is>
      </c>
      <c r="C26" s="216" t="n"/>
      <c r="D26" s="216" t="n"/>
      <c r="E26" s="216" t="n"/>
      <c r="F26" s="104" t="n"/>
      <c r="G26" s="106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189">
      <c r="A27" s="1" t="n"/>
      <c r="B27" s="108" t="inlineStr">
        <is>
          <t>ID</t>
        </is>
      </c>
      <c r="C27" s="226" t="inlineStr">
        <is>
          <t>Descrição</t>
        </is>
      </c>
      <c r="D27" s="210" t="n"/>
      <c r="E27" s="211" t="n"/>
      <c r="F27" s="108" t="inlineStr">
        <is>
          <t>Peso</t>
        </is>
      </c>
      <c r="G27" s="108" t="inlineStr">
        <is>
          <t>Influência</t>
        </is>
      </c>
      <c r="H27" s="110" t="inlineStr">
        <is>
          <t>Justificativa / premissa</t>
        </is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189">
      <c r="A28" s="1" t="n"/>
      <c r="B28" s="46" t="inlineStr">
        <is>
          <t>F01</t>
        </is>
      </c>
      <c r="C28" s="227" t="inlineStr">
        <is>
          <t>Familiaridade com o Processo de Desenvolvimento de Software</t>
        </is>
      </c>
      <c r="D28" s="216" t="n"/>
      <c r="E28" s="217" t="n"/>
      <c r="F28" s="46" t="n">
        <v>1.5</v>
      </c>
      <c r="G28" s="46" t="n">
        <v>3</v>
      </c>
      <c r="H28" s="112" t="inlineStr">
        <is>
          <t>Premissa: equipe com conhecimento básico do processo (ajustar)</t>
        </is>
      </c>
      <c r="I28" s="37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189">
      <c r="A29" s="1" t="n"/>
      <c r="B29" s="46" t="inlineStr">
        <is>
          <t>F02</t>
        </is>
      </c>
      <c r="C29" s="227" t="inlineStr">
        <is>
          <t>Experiência na Aplicação</t>
        </is>
      </c>
      <c r="D29" s="216" t="n"/>
      <c r="E29" s="217" t="n"/>
      <c r="F29" s="46" t="n">
        <v>0.5</v>
      </c>
      <c r="G29" s="46" t="n">
        <v>2</v>
      </c>
      <c r="H29" s="112" t="inlineStr">
        <is>
          <t>Premissa: primeiro projeto neste domínio (ajustar)</t>
        </is>
      </c>
      <c r="I29" s="37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189">
      <c r="A30" s="1" t="n"/>
      <c r="B30" s="46" t="inlineStr">
        <is>
          <t>F03</t>
        </is>
      </c>
      <c r="C30" s="227" t="inlineStr">
        <is>
          <t>Experiência em Programação Orientada a Objetos</t>
        </is>
      </c>
      <c r="D30" s="216" t="n"/>
      <c r="E30" s="217" t="n"/>
      <c r="F30" s="46" t="n">
        <v>1</v>
      </c>
      <c r="G30" s="46" t="n">
        <v>3</v>
      </c>
      <c r="H30" s="112" t="inlineStr">
        <is>
          <t>Premissa: experiência intermediária em POO (ajustar)</t>
        </is>
      </c>
      <c r="I30" s="37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189">
      <c r="A31" s="1" t="n"/>
      <c r="B31" s="46" t="inlineStr">
        <is>
          <t>F04</t>
        </is>
      </c>
      <c r="C31" s="227" t="inlineStr">
        <is>
          <t>Capacidade do Líder de Projeto</t>
        </is>
      </c>
      <c r="D31" s="216" t="n"/>
      <c r="E31" s="217" t="n"/>
      <c r="F31" s="46" t="n">
        <v>0.5</v>
      </c>
      <c r="G31" s="46" t="n">
        <v>3</v>
      </c>
      <c r="H31" s="112" t="inlineStr">
        <is>
          <t>Premissa: liderança intermediária (ajustar)</t>
        </is>
      </c>
      <c r="I31" s="37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189">
      <c r="A32" s="1" t="n"/>
      <c r="B32" s="46" t="inlineStr">
        <is>
          <t>F05</t>
        </is>
      </c>
      <c r="C32" s="227" t="inlineStr">
        <is>
          <t>Motivação</t>
        </is>
      </c>
      <c r="D32" s="216" t="n"/>
      <c r="E32" s="217" t="n"/>
      <c r="F32" s="46" t="n">
        <v>1</v>
      </c>
      <c r="G32" s="46" t="n">
        <v>4</v>
      </c>
      <c r="H32" s="112" t="inlineStr">
        <is>
          <t>Premissa: equipe motivada (ajustar)</t>
        </is>
      </c>
      <c r="I32" s="37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189">
      <c r="A33" s="1" t="n"/>
      <c r="B33" s="46" t="inlineStr">
        <is>
          <t>F06</t>
        </is>
      </c>
      <c r="C33" s="227" t="inlineStr">
        <is>
          <t>Requisitos estáveis</t>
        </is>
      </c>
      <c r="D33" s="216" t="n"/>
      <c r="E33" s="217" t="n"/>
      <c r="F33" s="46" t="n">
        <v>2</v>
      </c>
      <c r="G33" s="46" t="n">
        <v>4</v>
      </c>
      <c r="H33" s="112" t="inlineStr">
        <is>
          <t>Escopo fechado por release, com requisitos estáveis</t>
        </is>
      </c>
      <c r="I33" s="37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189">
      <c r="A34" s="1" t="n"/>
      <c r="B34" s="46" t="inlineStr">
        <is>
          <t>F07</t>
        </is>
      </c>
      <c r="C34" s="227" t="inlineStr">
        <is>
          <t>Trabalhadores com dedicação parcial</t>
        </is>
      </c>
      <c r="D34" s="216" t="n"/>
      <c r="E34" s="217" t="n"/>
      <c r="F34" s="46" t="n">
        <v>-1</v>
      </c>
      <c r="G34" s="46" t="n">
        <v>4</v>
      </c>
      <c r="H34" s="112" t="inlineStr">
        <is>
          <t>Premissa: equipe com dedicação parcial (ajustar)</t>
        </is>
      </c>
      <c r="I34" s="37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189">
      <c r="A35" s="1" t="n"/>
      <c r="B35" s="46" t="inlineStr">
        <is>
          <t>F08</t>
        </is>
      </c>
      <c r="C35" s="227" t="inlineStr">
        <is>
          <t>Dificuldade da Linguagem de Programação</t>
        </is>
      </c>
      <c r="D35" s="216" t="n"/>
      <c r="E35" s="217" t="n"/>
      <c r="F35" s="46" t="n">
        <v>-1</v>
      </c>
      <c r="G35" s="46" t="n">
        <v>2</v>
      </c>
      <c r="H35" s="112" t="inlineStr">
        <is>
          <t>Premissa: linguagem de dificuldade moderada (ajustar)</t>
        </is>
      </c>
      <c r="I35" s="37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189">
      <c r="A36" s="1" t="n"/>
      <c r="B36" s="224" t="inlineStr">
        <is>
          <t>Fator de Complexidade Ambiental</t>
        </is>
      </c>
      <c r="C36" s="216" t="n"/>
      <c r="D36" s="216" t="n"/>
      <c r="E36" s="216" t="n"/>
      <c r="F36" s="217" t="n"/>
      <c r="G36" s="88">
        <f>1.4+(-0.03*SUM(F28*G28,F29*G29,F30*G30,F31*G31,F32*G32,F33*G33,F34*G34,F35*G35))</f>
        <v/>
      </c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18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18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18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18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18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18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8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18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18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18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18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18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18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18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18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18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2.75" customHeight="1" s="18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2.75" customHeight="1" s="18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2.75" customHeight="1" s="18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2.75" customHeight="1" s="18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2.75" customHeight="1" s="18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2.75" customHeight="1" s="18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2.75" customHeight="1" s="18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8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2.75" customHeight="1" s="18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2.75" customHeight="1" s="18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75" customHeight="1" s="18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2.75" customHeight="1" s="18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8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18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2.75" customHeight="1" s="18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.75" customHeight="1" s="18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18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18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18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8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8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8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8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8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8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8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8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8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8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8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8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8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8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8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8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8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8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8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8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8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8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8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8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8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8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8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8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8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8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8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8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8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8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8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8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8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8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8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8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8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8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8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8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8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8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8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8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8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8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8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8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8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8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8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8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8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8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8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8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8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8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8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8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8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8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8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8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8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8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8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8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8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8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8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8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8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8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8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8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8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8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8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8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8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8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8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8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8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8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8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8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8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8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8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8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8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8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8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8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8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8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8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8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8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8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8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8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8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8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8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8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8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8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8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8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8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8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8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8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8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8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8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8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8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8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8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8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8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8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8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8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8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8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8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8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8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8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8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8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8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8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8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8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8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8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8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8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8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8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8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8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8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8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8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8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8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8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8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8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8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8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8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8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8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8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8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8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8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8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8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8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8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8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8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8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8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8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8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8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8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8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8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8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8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8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8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8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8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8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8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8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8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8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8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8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8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8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8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8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8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8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8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8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8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8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8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8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8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8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8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8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8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8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8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8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8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8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8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8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8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8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8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8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8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8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8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8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8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8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8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8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8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8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8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8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8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8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8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8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8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8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8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8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8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8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8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8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8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8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8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8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8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8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8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8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8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8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8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8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8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8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8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8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8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8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8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8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8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8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8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8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8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8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8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8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8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8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8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8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8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8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8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8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8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8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8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8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8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8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8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8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8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8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8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8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8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8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8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8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8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8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8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8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8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8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8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8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8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8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8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8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8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8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8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8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8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8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8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8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8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8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8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8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8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8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8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8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8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8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8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8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8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8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8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8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8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8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8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8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8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8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8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8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8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8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8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8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8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8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8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8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8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8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8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8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8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8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8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8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8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8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8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8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8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8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8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8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8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8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8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8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8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8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8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8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8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8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8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8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8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8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8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8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8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8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8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8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8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8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8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8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8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8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8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8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8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8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8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8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8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8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8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8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8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8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8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8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8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8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8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8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8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8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8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8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8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8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8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8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8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8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8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8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8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8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8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8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8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8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8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8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8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8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8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8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8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8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8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8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8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8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8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8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8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8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8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8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8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8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8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8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8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8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8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8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8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8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8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8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8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8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8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8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8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8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8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8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8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8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8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8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8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8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8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8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8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8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8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8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8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8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8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8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8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8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8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8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8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8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8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8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8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8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8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8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8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8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8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8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8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8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8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8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8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8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8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8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8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8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8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8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8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8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8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8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8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8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8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8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8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8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8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8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8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8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8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8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8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8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8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8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8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8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8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8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8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8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8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8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8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8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8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8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8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8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8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8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8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8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8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8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8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8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8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8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8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8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8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8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8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8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8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8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8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8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8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8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8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8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8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8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8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8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8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8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8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8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8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8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8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8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8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8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8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8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8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8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8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8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8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8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8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8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8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8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8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8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8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8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8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8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8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8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8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8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8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8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8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8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8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8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8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8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8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8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8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8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8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8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8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8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8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8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8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8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8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8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8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8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8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8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8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8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8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8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8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8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8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8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8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8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8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8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8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8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8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8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8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8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8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8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8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8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8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8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8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8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8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8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8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8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8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8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8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8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8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8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8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8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8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8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8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8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8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8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8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8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8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8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8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8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8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8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8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8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8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8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8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8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8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8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8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8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8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8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8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8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8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8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8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8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8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8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8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8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8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8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8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8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8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8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8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8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8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8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8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8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8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8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8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8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8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8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8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8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8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8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8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8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8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8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8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8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8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8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8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8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8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8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8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8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8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8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8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8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8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8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8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8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8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8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8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8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8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8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8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8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8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8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8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8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8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8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8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8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8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8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8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8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8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8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8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8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8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8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8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8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8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8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8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8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8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8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8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8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8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8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8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8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8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8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8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8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8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8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8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8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8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8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8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8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8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8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8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8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8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8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8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8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8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8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8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8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8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8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8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8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8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8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8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8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8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8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8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8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8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8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8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8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8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8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8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8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8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8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8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8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8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8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8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8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8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8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8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8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8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8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8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8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8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8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8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8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8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8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8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8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8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8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8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8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8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8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8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8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8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8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8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8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8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8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8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8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8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8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8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8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8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8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8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8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8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8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8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8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8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8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8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8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8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8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8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8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8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8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8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8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8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8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8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8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8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8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8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8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8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8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8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8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8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8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8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8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8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8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8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8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8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14">
    <mergeCell ref="B26:E26"/>
    <mergeCell ref="C33:E33"/>
    <mergeCell ref="C28:E28"/>
    <mergeCell ref="C27:E27"/>
    <mergeCell ref="B4:E4"/>
    <mergeCell ref="C31:E31"/>
    <mergeCell ref="B22:D22"/>
    <mergeCell ref="B7:E7"/>
    <mergeCell ref="B36:F36"/>
    <mergeCell ref="C29:E29"/>
    <mergeCell ref="C30:E30"/>
    <mergeCell ref="C34:E34"/>
    <mergeCell ref="C35:E35"/>
    <mergeCell ref="C32:E32"/>
  </mergeCells>
  <dataValidations count="1">
    <dataValidation sqref="E9:E21 G28:G35 I9:I21 I28:I35" showDropDown="0" showInputMessage="0" showErrorMessage="1" allowBlank="1" type="decimal">
      <formula1>0.0</formula1>
      <formula2>5.0</formula2>
    </dataValidation>
  </dataValidations>
  <pageMargins left="0.7875" right="0.7875" top="0.9840277777777779" bottom="0.9840277777777779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FFFFFF"/>
    <outlinePr summaryBelow="1" summaryRight="1"/>
    <pageSetUpPr/>
  </sheetPr>
  <dimension ref="A1:AF38"/>
  <sheetViews>
    <sheetView workbookViewId="0">
      <selection activeCell="A1" sqref="A1"/>
    </sheetView>
  </sheetViews>
  <sheetFormatPr baseColWidth="8" defaultColWidth="12.63" defaultRowHeight="15" customHeight="1"/>
  <cols>
    <col width="11.63" customWidth="1" style="189" min="1" max="3"/>
    <col width="15" customWidth="1" style="189" min="4" max="4"/>
    <col width="14.25" customWidth="1" style="189" min="5" max="5"/>
    <col width="20.63" customWidth="1" style="189" min="6" max="6"/>
    <col width="16.75" customWidth="1" style="189" min="7" max="7"/>
    <col width="20.75" customWidth="1" style="189" min="8" max="8"/>
    <col width="12" customWidth="1" style="189" min="9" max="32"/>
  </cols>
  <sheetData>
    <row r="1" ht="17.25" customHeight="1" s="189">
      <c r="A1" s="1" t="n"/>
      <c r="B1" s="228" t="inlineStr">
        <is>
          <t>Base histórica de Projetos</t>
        </is>
      </c>
      <c r="C1" s="221" t="n"/>
      <c r="D1" s="221" t="n"/>
      <c r="E1" s="221" t="n"/>
      <c r="F1" s="221" t="n"/>
      <c r="G1" s="221" t="n"/>
      <c r="H1" s="221" t="n"/>
      <c r="I1" s="221" t="n"/>
      <c r="J1" s="221" t="n"/>
      <c r="K1" s="221" t="n"/>
      <c r="L1" s="221" t="n"/>
      <c r="M1" s="114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</row>
    <row r="2" ht="12.75" customHeight="1" s="18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 ht="12.75" customHeight="1" s="189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</row>
    <row r="4" ht="12.75" customHeight="1" s="189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</row>
    <row r="5" ht="12.75" customHeight="1" s="189">
      <c r="A5" s="1" t="n"/>
      <c r="B5" s="115" t="inlineStr">
        <is>
          <t>Projetos</t>
        </is>
      </c>
      <c r="C5" s="116" t="inlineStr">
        <is>
          <t>Tamanho</t>
        </is>
      </c>
      <c r="D5" s="116" t="inlineStr">
        <is>
          <t>Horas Reais</t>
        </is>
      </c>
      <c r="E5" s="117" t="inlineStr">
        <is>
          <t>Prospecção</t>
        </is>
      </c>
      <c r="F5" s="117" t="inlineStr">
        <is>
          <t>Análise e Projeto</t>
        </is>
      </c>
      <c r="G5" s="117" t="inlineStr">
        <is>
          <t>Planejamento</t>
        </is>
      </c>
      <c r="H5" s="117" t="inlineStr">
        <is>
          <t>Desenvolvimento</t>
        </is>
      </c>
      <c r="I5" s="117" t="inlineStr">
        <is>
          <t>Fechamento</t>
        </is>
      </c>
      <c r="J5" s="117" t="inlineStr">
        <is>
          <t>Mon.Controle</t>
        </is>
      </c>
      <c r="K5" s="117" t="inlineStr">
        <is>
          <t>Cont. Mud.</t>
        </is>
      </c>
      <c r="L5" s="118" t="inlineStr">
        <is>
          <t>Produtividade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</row>
    <row r="6" ht="12.75" customHeight="1" s="189">
      <c r="A6" s="1" t="n"/>
      <c r="B6" s="119" t="inlineStr">
        <is>
          <t>Projeto 01</t>
        </is>
      </c>
      <c r="C6" s="24" t="n">
        <v>190</v>
      </c>
      <c r="D6" s="46">
        <f>SUM(E6:K6)</f>
        <v/>
      </c>
      <c r="E6" s="120" t="n">
        <v>12</v>
      </c>
      <c r="F6" s="120" t="n">
        <v>40</v>
      </c>
      <c r="G6" s="120" t="n">
        <v>12</v>
      </c>
      <c r="H6" s="120" t="n">
        <v>200</v>
      </c>
      <c r="I6" s="120" t="n">
        <v>10</v>
      </c>
      <c r="J6" s="120" t="n">
        <v>25</v>
      </c>
      <c r="K6" s="120" t="n">
        <v>24</v>
      </c>
      <c r="L6" s="121">
        <f>D6/C6</f>
        <v/>
      </c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</row>
    <row r="7" ht="12.75" customHeight="1" s="189">
      <c r="A7" s="1" t="n"/>
      <c r="B7" s="119" t="inlineStr">
        <is>
          <t>Projeto 02</t>
        </is>
      </c>
      <c r="C7" s="46" t="n">
        <v>130</v>
      </c>
      <c r="D7" s="46">
        <f>SUM(E7:K7)</f>
        <v/>
      </c>
      <c r="E7" s="122" t="n">
        <v>10</v>
      </c>
      <c r="F7" s="122" t="n">
        <v>60</v>
      </c>
      <c r="G7" s="122" t="n">
        <v>15</v>
      </c>
      <c r="H7" s="122" t="n">
        <v>50</v>
      </c>
      <c r="I7" s="122" t="n">
        <v>10</v>
      </c>
      <c r="J7" s="122" t="n">
        <v>30</v>
      </c>
      <c r="K7" s="122" t="n">
        <v>16</v>
      </c>
      <c r="L7" s="121">
        <f>D7/C7</f>
        <v/>
      </c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</row>
    <row r="8" ht="12.75" customHeight="1" s="189">
      <c r="A8" s="1" t="n"/>
      <c r="B8" s="119" t="inlineStr">
        <is>
          <t>Projeto 03</t>
        </is>
      </c>
      <c r="C8" s="46" t="n">
        <v>140</v>
      </c>
      <c r="D8" s="46">
        <f>SUM(E8:K8)</f>
        <v/>
      </c>
      <c r="E8" s="123" t="n">
        <v>9</v>
      </c>
      <c r="F8" s="123" t="n">
        <v>45</v>
      </c>
      <c r="G8" s="123" t="n">
        <v>16</v>
      </c>
      <c r="H8" s="123" t="n">
        <v>100</v>
      </c>
      <c r="I8" s="123" t="n">
        <v>12</v>
      </c>
      <c r="J8" s="123" t="n">
        <v>32</v>
      </c>
      <c r="K8" s="123" t="n">
        <v>16</v>
      </c>
      <c r="L8" s="121">
        <f>D8/C8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</row>
    <row r="9" ht="12.75" customHeight="1" s="189">
      <c r="A9" s="1" t="n"/>
      <c r="B9" s="119" t="inlineStr">
        <is>
          <t>Projeto 04</t>
        </is>
      </c>
      <c r="C9" s="46" t="n">
        <v>125</v>
      </c>
      <c r="D9" s="46">
        <f>SUM(E9:K9)</f>
        <v/>
      </c>
      <c r="E9" s="122" t="n">
        <v>11</v>
      </c>
      <c r="F9" s="122" t="n">
        <v>40</v>
      </c>
      <c r="G9" s="122" t="n">
        <v>16</v>
      </c>
      <c r="H9" s="122" t="n">
        <v>150</v>
      </c>
      <c r="I9" s="122" t="n">
        <v>8</v>
      </c>
      <c r="J9" s="122" t="n">
        <v>35</v>
      </c>
      <c r="K9" s="122" t="n">
        <v>8</v>
      </c>
      <c r="L9" s="121">
        <f>D9/C9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</row>
    <row r="10" ht="12.75" customHeight="1" s="189">
      <c r="A10" s="1" t="n"/>
      <c r="B10" s="124" t="n"/>
      <c r="C10" s="46" t="n"/>
      <c r="D10" s="46" t="n"/>
      <c r="E10" s="122" t="n"/>
      <c r="F10" s="122" t="n"/>
      <c r="G10" s="122" t="n"/>
      <c r="H10" s="122" t="n"/>
      <c r="I10" s="122" t="n"/>
      <c r="J10" s="122" t="n"/>
      <c r="K10" s="122" t="n"/>
      <c r="L10" s="125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</row>
    <row r="11" ht="12.75" customHeight="1" s="189">
      <c r="A11" s="1" t="n"/>
      <c r="B11" s="124" t="n"/>
      <c r="C11" s="46" t="n"/>
      <c r="D11" s="46" t="n"/>
      <c r="E11" s="122" t="n"/>
      <c r="F11" s="122" t="n"/>
      <c r="G11" s="122" t="n"/>
      <c r="H11" s="122" t="n"/>
      <c r="I11" s="122" t="n"/>
      <c r="J11" s="122" t="n"/>
      <c r="K11" s="122" t="n"/>
      <c r="L11" s="125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</row>
    <row r="12" ht="12.75" customHeight="1" s="189">
      <c r="A12" s="1" t="n"/>
      <c r="B12" s="124" t="n"/>
      <c r="C12" s="46" t="n"/>
      <c r="D12" s="46" t="n"/>
      <c r="E12" s="122" t="n"/>
      <c r="F12" s="122" t="n"/>
      <c r="G12" s="122" t="n"/>
      <c r="H12" s="122" t="n"/>
      <c r="I12" s="122" t="n"/>
      <c r="J12" s="122" t="n"/>
      <c r="K12" s="122" t="n"/>
      <c r="L12" s="125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</row>
    <row r="13" ht="12.75" customHeight="1" s="189">
      <c r="A13" s="1" t="n"/>
      <c r="B13" s="124" t="n"/>
      <c r="C13" s="46" t="n"/>
      <c r="D13" s="46" t="n"/>
      <c r="E13" s="122" t="n"/>
      <c r="F13" s="122" t="n"/>
      <c r="G13" s="122" t="n"/>
      <c r="H13" s="122" t="n"/>
      <c r="I13" s="122" t="n"/>
      <c r="J13" s="122" t="n"/>
      <c r="K13" s="122" t="n"/>
      <c r="L13" s="125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</row>
    <row r="14" ht="12.75" customHeight="1" s="189">
      <c r="A14" s="1" t="n"/>
      <c r="B14" s="124" t="n"/>
      <c r="C14" s="46" t="n"/>
      <c r="D14" s="46" t="n"/>
      <c r="E14" s="122" t="n"/>
      <c r="F14" s="122" t="n"/>
      <c r="G14" s="122" t="n"/>
      <c r="H14" s="122" t="n"/>
      <c r="I14" s="122" t="n"/>
      <c r="J14" s="122" t="n"/>
      <c r="K14" s="122" t="n"/>
      <c r="L14" s="125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</row>
    <row r="15" ht="12.75" customHeight="1" s="189">
      <c r="A15" s="1" t="n"/>
      <c r="B15" s="124" t="n"/>
      <c r="C15" s="46" t="n"/>
      <c r="D15" s="46" t="n"/>
      <c r="E15" s="122" t="n"/>
      <c r="F15" s="122" t="n"/>
      <c r="G15" s="122" t="n"/>
      <c r="H15" s="122" t="n"/>
      <c r="I15" s="122" t="n"/>
      <c r="J15" s="122" t="n"/>
      <c r="K15" s="122" t="n"/>
      <c r="L15" s="125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</row>
    <row r="16" ht="12.75" customHeight="1" s="189">
      <c r="A16" s="1" t="n"/>
      <c r="B16" s="124" t="n"/>
      <c r="C16" s="46" t="n"/>
      <c r="D16" s="46" t="n"/>
      <c r="E16" s="122" t="n"/>
      <c r="F16" s="122" t="n"/>
      <c r="G16" s="122" t="n"/>
      <c r="H16" s="122" t="n"/>
      <c r="I16" s="122" t="n"/>
      <c r="J16" s="122" t="n"/>
      <c r="K16" s="122" t="n"/>
      <c r="L16" s="125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</row>
    <row r="17" ht="12.75" customHeight="1" s="189">
      <c r="A17" s="1" t="n"/>
      <c r="B17" s="124" t="n"/>
      <c r="C17" s="46" t="n"/>
      <c r="D17" s="46" t="n"/>
      <c r="E17" s="122" t="n"/>
      <c r="F17" s="122" t="n"/>
      <c r="G17" s="122" t="n"/>
      <c r="H17" s="122" t="n"/>
      <c r="I17" s="122" t="n"/>
      <c r="J17" s="122" t="n"/>
      <c r="K17" s="122" t="n"/>
      <c r="L17" s="125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</row>
    <row r="18" ht="12.75" customHeight="1" s="189">
      <c r="A18" s="1" t="n"/>
      <c r="B18" s="124" t="n"/>
      <c r="C18" s="46" t="n"/>
      <c r="D18" s="46" t="n"/>
      <c r="E18" s="122" t="n"/>
      <c r="F18" s="122" t="n"/>
      <c r="G18" s="122" t="n"/>
      <c r="H18" s="122" t="n"/>
      <c r="I18" s="122" t="n"/>
      <c r="J18" s="122" t="n"/>
      <c r="K18" s="122" t="n"/>
      <c r="L18" s="125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</row>
    <row r="19" ht="12.75" customHeight="1" s="189">
      <c r="A19" s="1" t="n"/>
      <c r="B19" s="124" t="n"/>
      <c r="C19" s="46" t="n"/>
      <c r="D19" s="46" t="n"/>
      <c r="E19" s="122" t="n"/>
      <c r="F19" s="122" t="n"/>
      <c r="G19" s="122" t="n"/>
      <c r="H19" s="122" t="n"/>
      <c r="I19" s="122" t="n"/>
      <c r="J19" s="122" t="n"/>
      <c r="K19" s="122" t="n"/>
      <c r="L19" s="125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</row>
    <row r="20" ht="12.75" customHeight="1" s="189">
      <c r="A20" s="1" t="n"/>
      <c r="B20" s="124" t="n"/>
      <c r="C20" s="46" t="n"/>
      <c r="D20" s="46" t="n"/>
      <c r="E20" s="122" t="n"/>
      <c r="F20" s="122" t="n"/>
      <c r="G20" s="122" t="n"/>
      <c r="H20" s="122" t="n"/>
      <c r="I20" s="122" t="n"/>
      <c r="J20" s="122" t="n"/>
      <c r="K20" s="122" t="n"/>
      <c r="L20" s="125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</row>
    <row r="21" ht="12.75" customHeight="1" s="189">
      <c r="A21" s="1" t="n"/>
      <c r="B21" s="124" t="n"/>
      <c r="C21" s="46" t="n"/>
      <c r="D21" s="46" t="n"/>
      <c r="E21" s="122" t="n"/>
      <c r="F21" s="122" t="n"/>
      <c r="G21" s="122" t="n"/>
      <c r="H21" s="122" t="n"/>
      <c r="I21" s="122" t="n"/>
      <c r="J21" s="122" t="n"/>
      <c r="K21" s="122" t="n"/>
      <c r="L21" s="125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</row>
    <row r="22" ht="12.75" customHeight="1" s="189">
      <c r="A22" s="1" t="n"/>
      <c r="B22" s="124" t="n"/>
      <c r="C22" s="46" t="n"/>
      <c r="D22" s="46" t="n"/>
      <c r="E22" s="122" t="n"/>
      <c r="F22" s="122" t="n"/>
      <c r="G22" s="122" t="n"/>
      <c r="H22" s="122" t="n"/>
      <c r="I22" s="122" t="n"/>
      <c r="J22" s="122" t="n"/>
      <c r="K22" s="122" t="n"/>
      <c r="L22" s="125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</row>
    <row r="23" ht="12.75" customHeight="1" s="189">
      <c r="A23" s="1" t="n"/>
      <c r="B23" s="124" t="n"/>
      <c r="C23" s="46" t="n"/>
      <c r="D23" s="46" t="n"/>
      <c r="E23" s="122" t="n"/>
      <c r="F23" s="122" t="n"/>
      <c r="G23" s="122" t="n"/>
      <c r="H23" s="122" t="n"/>
      <c r="I23" s="122" t="n"/>
      <c r="J23" s="122" t="n"/>
      <c r="K23" s="122" t="n"/>
      <c r="L23" s="125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</row>
    <row r="24" ht="12.75" customHeight="1" s="189">
      <c r="A24" s="1" t="n"/>
      <c r="B24" s="124" t="n"/>
      <c r="C24" s="46" t="n"/>
      <c r="D24" s="46" t="n"/>
      <c r="E24" s="122" t="n"/>
      <c r="F24" s="122" t="n"/>
      <c r="G24" s="122" t="n"/>
      <c r="H24" s="122" t="n"/>
      <c r="I24" s="122" t="n"/>
      <c r="J24" s="122" t="n"/>
      <c r="K24" s="122" t="n"/>
      <c r="L24" s="125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</row>
    <row r="25" ht="12.75" customHeight="1" s="189">
      <c r="A25" s="1" t="n"/>
      <c r="B25" s="124" t="n"/>
      <c r="C25" s="46" t="n"/>
      <c r="D25" s="46" t="n"/>
      <c r="E25" s="122" t="n"/>
      <c r="F25" s="122" t="n"/>
      <c r="G25" s="122" t="n"/>
      <c r="H25" s="122" t="n"/>
      <c r="I25" s="122" t="n"/>
      <c r="J25" s="122" t="n"/>
      <c r="K25" s="122" t="n"/>
      <c r="L25" s="125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</row>
    <row r="26" ht="12.75" customHeight="1" s="189">
      <c r="A26" s="1" t="n"/>
      <c r="B26" s="124" t="n"/>
      <c r="C26" s="46" t="n"/>
      <c r="D26" s="46" t="n"/>
      <c r="E26" s="122" t="n"/>
      <c r="F26" s="122" t="n"/>
      <c r="G26" s="122" t="n"/>
      <c r="H26" s="122" t="n"/>
      <c r="I26" s="122" t="n"/>
      <c r="J26" s="122" t="n"/>
      <c r="K26" s="122" t="n"/>
      <c r="L26" s="125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</row>
    <row r="27" ht="12.75" customHeight="1" s="189">
      <c r="A27" s="1" t="n"/>
      <c r="B27" s="124" t="n"/>
      <c r="C27" s="46" t="n"/>
      <c r="D27" s="46" t="n"/>
      <c r="E27" s="122" t="n"/>
      <c r="F27" s="122" t="n"/>
      <c r="G27" s="122" t="n"/>
      <c r="H27" s="122" t="n"/>
      <c r="I27" s="122" t="n"/>
      <c r="J27" s="122" t="n"/>
      <c r="K27" s="122" t="n"/>
      <c r="L27" s="125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</row>
    <row r="28" ht="12.75" customHeight="1" s="189">
      <c r="A28" s="1" t="n"/>
      <c r="B28" s="126" t="n"/>
      <c r="C28" s="68" t="n"/>
      <c r="D28" s="68" t="n"/>
      <c r="E28" s="127" t="n"/>
      <c r="F28" s="127" t="n"/>
      <c r="G28" s="127" t="n"/>
      <c r="H28" s="127" t="n"/>
      <c r="I28" s="127" t="n"/>
      <c r="J28" s="127" t="n"/>
      <c r="K28" s="127" t="n"/>
      <c r="L28" s="77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</row>
    <row r="29" ht="12.75" customHeight="1" s="189">
      <c r="A29" s="1" t="n"/>
      <c r="B29" s="28" t="inlineStr">
        <is>
          <t>Total de horas por fase</t>
        </is>
      </c>
      <c r="C29" s="128" t="n"/>
      <c r="D29" s="128">
        <f>SUM(D6:D28)</f>
        <v/>
      </c>
      <c r="E29" s="128">
        <f>SUM(E6:E28)</f>
        <v/>
      </c>
      <c r="F29" s="128">
        <f>SUM(F6:F28)</f>
        <v/>
      </c>
      <c r="G29" s="128">
        <f>SUM(G6:G28)</f>
        <v/>
      </c>
      <c r="H29" s="128">
        <f>SUM(H6:H28)</f>
        <v/>
      </c>
      <c r="I29" s="128">
        <f>SUM(I6:I28)</f>
        <v/>
      </c>
      <c r="J29" s="128">
        <f>SUM(J6:J28)</f>
        <v/>
      </c>
      <c r="K29" s="128">
        <f>SUM(K6:K28)</f>
        <v/>
      </c>
      <c r="L29" s="129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</row>
    <row r="30" ht="12.75" customHeight="1" s="189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229" t="inlineStr">
        <is>
          <t>Produtividade média</t>
        </is>
      </c>
      <c r="K30" s="200" t="n"/>
      <c r="L30" s="131" t="n">
        <v>4</v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</row>
    <row r="31" ht="12.75" customHeight="1" s="189">
      <c r="A31" s="1" t="n"/>
      <c r="B31" s="132" t="inlineStr">
        <is>
          <t>% de esforço por fases</t>
        </is>
      </c>
      <c r="C31" s="133" t="n"/>
      <c r="D31" s="134" t="n"/>
      <c r="E31" s="135">
        <f>(E29*1)/$D$29</f>
        <v/>
      </c>
      <c r="F31" s="135">
        <f>(F29*1)/$D$29</f>
        <v/>
      </c>
      <c r="G31" s="135">
        <f>(G29*1)/$D$29</f>
        <v/>
      </c>
      <c r="H31" s="135">
        <f>(H29*1)/$D$29</f>
        <v/>
      </c>
      <c r="I31" s="135">
        <f>(I29*1)/$D$29</f>
        <v/>
      </c>
      <c r="J31" s="135">
        <f>(J29*1)/$D$29</f>
        <v/>
      </c>
      <c r="K31" s="135">
        <f>(K29*1)/$D$29</f>
        <v/>
      </c>
      <c r="L31" s="136">
        <f>SUM(E31:K31)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</row>
    <row r="32" ht="12.75" customHeight="1" s="189"/>
    <row r="33" ht="12.75" customHeight="1" s="189">
      <c r="B33" s="110" t="inlineStr">
        <is>
          <t>Projeto atual (estimativa vigente, vinda da aba Geral) - não entra nos totais nem na média acima</t>
        </is>
      </c>
    </row>
    <row r="34" ht="12.75" customHeight="1" s="189">
      <c r="B34" s="115" t="inlineStr">
        <is>
          <t>Projetos</t>
        </is>
      </c>
      <c r="C34" s="116" t="inlineStr">
        <is>
          <t>Tamanho</t>
        </is>
      </c>
      <c r="D34" s="116" t="inlineStr">
        <is>
          <t>Horas Reais</t>
        </is>
      </c>
      <c r="E34" s="117" t="inlineStr">
        <is>
          <t>Prospecção</t>
        </is>
      </c>
      <c r="F34" s="117" t="inlineStr">
        <is>
          <t>Análise e Projeto</t>
        </is>
      </c>
      <c r="G34" s="117" t="inlineStr">
        <is>
          <t>Planejamento</t>
        </is>
      </c>
      <c r="H34" s="117" t="inlineStr">
        <is>
          <t>Desenvolvimento</t>
        </is>
      </c>
      <c r="I34" s="117" t="inlineStr">
        <is>
          <t>Fechamento</t>
        </is>
      </c>
      <c r="J34" s="117" t="inlineStr">
        <is>
          <t>Mon.Controle</t>
        </is>
      </c>
      <c r="K34" s="117" t="inlineStr">
        <is>
          <t>Cont. Mud.</t>
        </is>
      </c>
      <c r="L34" s="118" t="inlineStr">
        <is>
          <t>Produtividade</t>
        </is>
      </c>
    </row>
    <row r="35" ht="12.75" customHeight="1" s="189">
      <c r="B35" s="137" t="inlineStr">
        <is>
          <t>Arena Local (estimado)</t>
        </is>
      </c>
      <c r="C35" s="138">
        <f>Geral!E13</f>
        <v/>
      </c>
      <c r="D35" s="139">
        <f>SUM(E35:K35)</f>
        <v/>
      </c>
      <c r="E35" s="140">
        <f>Geral!J13</f>
        <v/>
      </c>
      <c r="F35" s="140">
        <f>Geral!J14+Geral!J15</f>
        <v/>
      </c>
      <c r="G35" s="140">
        <f>Geral!J16</f>
        <v/>
      </c>
      <c r="H35" s="140">
        <f>Geral!J17</f>
        <v/>
      </c>
      <c r="I35" s="140">
        <f>Geral!J19</f>
        <v/>
      </c>
      <c r="J35" s="140">
        <f>Geral!J18</f>
        <v/>
      </c>
      <c r="K35" s="140">
        <f>Geral!J20</f>
        <v/>
      </c>
      <c r="L35" s="141">
        <f>D35/C35</f>
        <v/>
      </c>
    </row>
    <row r="36" ht="12.75" customHeight="1" s="189">
      <c r="B36" s="110" t="inlineStr">
        <is>
          <t>% de esforço por fases (projeto atual)</t>
        </is>
      </c>
      <c r="E36" s="142">
        <f>E35/$D$35</f>
        <v/>
      </c>
      <c r="F36" s="142">
        <f>F35/$D$35</f>
        <v/>
      </c>
      <c r="G36" s="142">
        <f>G35/$D$35</f>
        <v/>
      </c>
      <c r="H36" s="142">
        <f>H35/$D$35</f>
        <v/>
      </c>
      <c r="I36" s="142">
        <f>I35/$D$35</f>
        <v/>
      </c>
      <c r="J36" s="142">
        <f>J35/$D$35</f>
        <v/>
      </c>
      <c r="K36" s="142">
        <f>K35/$D$35</f>
        <v/>
      </c>
      <c r="L36" s="142">
        <f>SUM(E36:K36)</f>
        <v/>
      </c>
    </row>
    <row r="37" ht="12.75" customHeight="1" s="189">
      <c r="B37" s="110" t="inlineStr">
        <is>
          <t>Produtividade média da base (Projetos 01 a 04), calculada</t>
        </is>
      </c>
      <c r="L37" s="143">
        <f>AVERAGE(L6:L9)</f>
        <v/>
      </c>
    </row>
    <row r="38" ht="12.75" customHeight="1" s="189">
      <c r="B38" s="144" t="inlineStr">
        <is>
          <t>Obs.: a produtividade adotada (L30 = 4 h/PCU, valor azul) fica acima da média calculada da base (~3,1 h/PCU), o que deixa o projeto com folga. As horas reais dos Projetos 01 a 04 não foram alteradas.</t>
        </is>
      </c>
    </row>
    <row r="39" ht="12.75" customHeight="1" s="189"/>
    <row r="40" ht="12.75" customHeight="1" s="189"/>
    <row r="41" ht="12.75" customHeight="1" s="189"/>
    <row r="42" ht="12.75" customHeight="1" s="189"/>
    <row r="43" ht="12.75" customHeight="1" s="189"/>
    <row r="44" ht="12.75" customHeight="1" s="189"/>
    <row r="45" ht="12.75" customHeight="1" s="189"/>
    <row r="46" ht="12.75" customHeight="1" s="189"/>
    <row r="47" ht="12.75" customHeight="1" s="189"/>
    <row r="48" ht="12.75" customHeight="1" s="189"/>
    <row r="49" ht="12.75" customHeight="1" s="189"/>
    <row r="50" ht="12.75" customHeight="1" s="189"/>
    <row r="51" ht="12.75" customHeight="1" s="189"/>
    <row r="52" ht="12.75" customHeight="1" s="189"/>
    <row r="53" ht="12.75" customHeight="1" s="189"/>
    <row r="54" ht="12.75" customHeight="1" s="189"/>
    <row r="55" ht="12.75" customHeight="1" s="189"/>
    <row r="56" ht="12.75" customHeight="1" s="189"/>
    <row r="57" ht="12.75" customHeight="1" s="189"/>
    <row r="58" ht="12.75" customHeight="1" s="189"/>
    <row r="59" ht="12.75" customHeight="1" s="189"/>
    <row r="60" ht="12.75" customHeight="1" s="189"/>
    <row r="61" ht="12.75" customHeight="1" s="189"/>
    <row r="62" ht="12.75" customHeight="1" s="189"/>
    <row r="63" ht="12.75" customHeight="1" s="189"/>
    <row r="64" ht="12.75" customHeight="1" s="189"/>
    <row r="65" ht="12.75" customHeight="1" s="189"/>
    <row r="66" ht="12.75" customHeight="1" s="189"/>
    <row r="67" ht="12.75" customHeight="1" s="189"/>
    <row r="68" ht="12.75" customHeight="1" s="189"/>
    <row r="69" ht="12.75" customHeight="1" s="189"/>
    <row r="70" ht="12.75" customHeight="1" s="189"/>
    <row r="71" ht="12.75" customHeight="1" s="189"/>
    <row r="72" ht="12.75" customHeight="1" s="189"/>
    <row r="73" ht="12.75" customHeight="1" s="189"/>
    <row r="74" ht="12.75" customHeight="1" s="189"/>
    <row r="75" ht="12.75" customHeight="1" s="189"/>
    <row r="76" ht="12.75" customHeight="1" s="189"/>
    <row r="77" ht="12.75" customHeight="1" s="189"/>
    <row r="78" ht="12.75" customHeight="1" s="189"/>
    <row r="79" ht="12.75" customHeight="1" s="189"/>
    <row r="80" ht="12.75" customHeight="1" s="189"/>
    <row r="81" ht="12.75" customHeight="1" s="189"/>
    <row r="82" ht="12.75" customHeight="1" s="189"/>
    <row r="83" ht="12.75" customHeight="1" s="189"/>
    <row r="84" ht="12.75" customHeight="1" s="189"/>
    <row r="85" ht="12.75" customHeight="1" s="189"/>
    <row r="86" ht="12.75" customHeight="1" s="189"/>
    <row r="87" ht="12.75" customHeight="1" s="189"/>
    <row r="88" ht="12.75" customHeight="1" s="189"/>
    <row r="89" ht="12.75" customHeight="1" s="189"/>
    <row r="90" ht="12.75" customHeight="1" s="189"/>
    <row r="91" ht="12.75" customHeight="1" s="189"/>
    <row r="92" ht="12.75" customHeight="1" s="189"/>
    <row r="93" ht="12.75" customHeight="1" s="189"/>
    <row r="94" ht="12.75" customHeight="1" s="189"/>
    <row r="95" ht="12.75" customHeight="1" s="189"/>
    <row r="96" ht="12.75" customHeight="1" s="189"/>
    <row r="97" ht="12.75" customHeight="1" s="189"/>
    <row r="98" ht="12.75" customHeight="1" s="189"/>
    <row r="99" ht="12.75" customHeight="1" s="189"/>
    <row r="100" ht="12.75" customHeight="1" s="189"/>
    <row r="101" ht="12.75" customHeight="1" s="189"/>
    <row r="102" ht="12.75" customHeight="1" s="189"/>
    <row r="103" ht="12.75" customHeight="1" s="189"/>
    <row r="104" ht="12.75" customHeight="1" s="189"/>
    <row r="105" ht="12.75" customHeight="1" s="189"/>
    <row r="106" ht="12.75" customHeight="1" s="189"/>
    <row r="107" ht="12.75" customHeight="1" s="189"/>
    <row r="108" ht="12.75" customHeight="1" s="189"/>
    <row r="109" ht="12.75" customHeight="1" s="189"/>
    <row r="110" ht="12.75" customHeight="1" s="189"/>
    <row r="111" ht="12.75" customHeight="1" s="189"/>
    <row r="112" ht="12.75" customHeight="1" s="189"/>
    <row r="113" ht="12.75" customHeight="1" s="189"/>
    <row r="114" ht="12.75" customHeight="1" s="189"/>
    <row r="115" ht="12.75" customHeight="1" s="189"/>
    <row r="116" ht="12.75" customHeight="1" s="189"/>
    <row r="117" ht="12.75" customHeight="1" s="189"/>
    <row r="118" ht="12.75" customHeight="1" s="189"/>
    <row r="119" ht="12.75" customHeight="1" s="189"/>
    <row r="120" ht="12.75" customHeight="1" s="189"/>
    <row r="121" ht="12.75" customHeight="1" s="189"/>
    <row r="122" ht="12.75" customHeight="1" s="189"/>
    <row r="123" ht="12.75" customHeight="1" s="189"/>
    <row r="124" ht="12.75" customHeight="1" s="189"/>
    <row r="125" ht="12.75" customHeight="1" s="189"/>
    <row r="126" ht="12.75" customHeight="1" s="189"/>
    <row r="127" ht="12.75" customHeight="1" s="189"/>
    <row r="128" ht="12.75" customHeight="1" s="189"/>
    <row r="129" ht="12.75" customHeight="1" s="189"/>
    <row r="130" ht="12.75" customHeight="1" s="189"/>
    <row r="131" ht="12.75" customHeight="1" s="189"/>
    <row r="132" ht="12.75" customHeight="1" s="189"/>
    <row r="133" ht="12.75" customHeight="1" s="189"/>
    <row r="134" ht="12.75" customHeight="1" s="189"/>
    <row r="135" ht="12.75" customHeight="1" s="189"/>
    <row r="136" ht="12.75" customHeight="1" s="189"/>
    <row r="137" ht="12.75" customHeight="1" s="189"/>
    <row r="138" ht="12.75" customHeight="1" s="189"/>
    <row r="139" ht="12.75" customHeight="1" s="189"/>
    <row r="140" ht="12.75" customHeight="1" s="189"/>
    <row r="141" ht="12.75" customHeight="1" s="189"/>
    <row r="142" ht="12.75" customHeight="1" s="189"/>
    <row r="143" ht="12.75" customHeight="1" s="189"/>
    <row r="144" ht="12.75" customHeight="1" s="189"/>
    <row r="145" ht="12.75" customHeight="1" s="189"/>
    <row r="146" ht="12.75" customHeight="1" s="189"/>
    <row r="147" ht="12.75" customHeight="1" s="189"/>
    <row r="148" ht="12.75" customHeight="1" s="189"/>
    <row r="149" ht="12.75" customHeight="1" s="189"/>
    <row r="150" ht="12.75" customHeight="1" s="189"/>
    <row r="151" ht="12.75" customHeight="1" s="189"/>
    <row r="152" ht="12.75" customHeight="1" s="189"/>
    <row r="153" ht="12.75" customHeight="1" s="189"/>
    <row r="154" ht="12.75" customHeight="1" s="189"/>
    <row r="155" ht="12.75" customHeight="1" s="189"/>
    <row r="156" ht="12.75" customHeight="1" s="189"/>
    <row r="157" ht="12.75" customHeight="1" s="189"/>
    <row r="158" ht="12.75" customHeight="1" s="189"/>
    <row r="159" ht="12.75" customHeight="1" s="189"/>
    <row r="160" ht="12.75" customHeight="1" s="189"/>
    <row r="161" ht="12.75" customHeight="1" s="189"/>
    <row r="162" ht="12.75" customHeight="1" s="189"/>
    <row r="163" ht="12.75" customHeight="1" s="189"/>
    <row r="164" ht="12.75" customHeight="1" s="189"/>
    <row r="165" ht="12.75" customHeight="1" s="189"/>
    <row r="166" ht="12.75" customHeight="1" s="189"/>
    <row r="167" ht="12.75" customHeight="1" s="189"/>
    <row r="168" ht="12.75" customHeight="1" s="189"/>
    <row r="169" ht="12.75" customHeight="1" s="189"/>
    <row r="170" ht="12.75" customHeight="1" s="189"/>
    <row r="171" ht="12.75" customHeight="1" s="189"/>
    <row r="172" ht="12.75" customHeight="1" s="189"/>
    <row r="173" ht="12.75" customHeight="1" s="189"/>
    <row r="174" ht="12.75" customHeight="1" s="189"/>
    <row r="175" ht="12.75" customHeight="1" s="189"/>
    <row r="176" ht="12.75" customHeight="1" s="189"/>
    <row r="177" ht="12.75" customHeight="1" s="189"/>
    <row r="178" ht="12.75" customHeight="1" s="189"/>
    <row r="179" ht="12.75" customHeight="1" s="189"/>
    <row r="180" ht="12.75" customHeight="1" s="189"/>
    <row r="181" ht="12.75" customHeight="1" s="189"/>
    <row r="182" ht="12.75" customHeight="1" s="189"/>
    <row r="183" ht="12.75" customHeight="1" s="189"/>
    <row r="184" ht="12.75" customHeight="1" s="189"/>
    <row r="185" ht="12.75" customHeight="1" s="189"/>
    <row r="186" ht="12.75" customHeight="1" s="189"/>
    <row r="187" ht="12.75" customHeight="1" s="189"/>
    <row r="188" ht="12.75" customHeight="1" s="189"/>
    <row r="189" ht="12.75" customHeight="1" s="189"/>
    <row r="190" ht="12.75" customHeight="1" s="189"/>
    <row r="191" ht="12.75" customHeight="1" s="189"/>
    <row r="192" ht="12.75" customHeight="1" s="189"/>
    <row r="193" ht="12.75" customHeight="1" s="189"/>
    <row r="194" ht="12.75" customHeight="1" s="189"/>
    <row r="195" ht="12.75" customHeight="1" s="189"/>
    <row r="196" ht="12.75" customHeight="1" s="189"/>
    <row r="197" ht="12.75" customHeight="1" s="189"/>
    <row r="198" ht="12.75" customHeight="1" s="189"/>
    <row r="199" ht="12.75" customHeight="1" s="189"/>
    <row r="200" ht="12.75" customHeight="1" s="189"/>
    <row r="201" ht="12.75" customHeight="1" s="189"/>
    <row r="202" ht="12.75" customHeight="1" s="189"/>
    <row r="203" ht="12.75" customHeight="1" s="189"/>
    <row r="204" ht="12.75" customHeight="1" s="189"/>
    <row r="205" ht="12.75" customHeight="1" s="189"/>
    <row r="206" ht="12.75" customHeight="1" s="189"/>
    <row r="207" ht="12.75" customHeight="1" s="189"/>
    <row r="208" ht="12.75" customHeight="1" s="189"/>
    <row r="209" ht="12.75" customHeight="1" s="189"/>
    <row r="210" ht="12.75" customHeight="1" s="189"/>
    <row r="211" ht="12.75" customHeight="1" s="189"/>
    <row r="212" ht="12.75" customHeight="1" s="189"/>
    <row r="213" ht="12.75" customHeight="1" s="189"/>
    <row r="214" ht="12.75" customHeight="1" s="189"/>
    <row r="215" ht="12.75" customHeight="1" s="189"/>
    <row r="216" ht="12.75" customHeight="1" s="189"/>
    <row r="217" ht="12.75" customHeight="1" s="189"/>
    <row r="218" ht="12.75" customHeight="1" s="189"/>
    <row r="219" ht="12.75" customHeight="1" s="189"/>
    <row r="220" ht="12.75" customHeight="1" s="189"/>
    <row r="221" ht="12.75" customHeight="1" s="189"/>
    <row r="222" ht="12.75" customHeight="1" s="189"/>
    <row r="223" ht="12.75" customHeight="1" s="189"/>
    <row r="224" ht="12.75" customHeight="1" s="189"/>
    <row r="225" ht="12.75" customHeight="1" s="189"/>
    <row r="226" ht="12.75" customHeight="1" s="189"/>
    <row r="227" ht="12.75" customHeight="1" s="189"/>
    <row r="228" ht="12.75" customHeight="1" s="189"/>
    <row r="229" ht="12.75" customHeight="1" s="189"/>
    <row r="230" ht="12.75" customHeight="1" s="189"/>
    <row r="231" ht="12.75" customHeight="1" s="189"/>
    <row r="232" ht="12.75" customHeight="1" s="189"/>
    <row r="233" ht="12.75" customHeight="1" s="189"/>
    <row r="234" ht="12.75" customHeight="1" s="189"/>
    <row r="235" ht="12.75" customHeight="1" s="189"/>
    <row r="236" ht="12.75" customHeight="1" s="189"/>
    <row r="237" ht="12.75" customHeight="1" s="189"/>
    <row r="238" ht="12.75" customHeight="1" s="189"/>
    <row r="239" ht="12.75" customHeight="1" s="189"/>
    <row r="240" ht="12.75" customHeight="1" s="189"/>
    <row r="241" ht="12.75" customHeight="1" s="189"/>
    <row r="242" ht="12.75" customHeight="1" s="189"/>
    <row r="243" ht="12.75" customHeight="1" s="189"/>
    <row r="244" ht="12.75" customHeight="1" s="189"/>
    <row r="245" ht="12.75" customHeight="1" s="189"/>
    <row r="246" ht="12.75" customHeight="1" s="189"/>
    <row r="247" ht="12.75" customHeight="1" s="189"/>
    <row r="248" ht="12.75" customHeight="1" s="189"/>
    <row r="249" ht="12.75" customHeight="1" s="189"/>
    <row r="250" ht="12.75" customHeight="1" s="189"/>
    <row r="251" ht="12.75" customHeight="1" s="189"/>
    <row r="252" ht="12.75" customHeight="1" s="189"/>
    <row r="253" ht="12.75" customHeight="1" s="189"/>
    <row r="254" ht="12.75" customHeight="1" s="189"/>
    <row r="255" ht="12.75" customHeight="1" s="189"/>
    <row r="256" ht="12.75" customHeight="1" s="189"/>
    <row r="257" ht="12.75" customHeight="1" s="189"/>
    <row r="258" ht="12.75" customHeight="1" s="189"/>
    <row r="259" ht="12.75" customHeight="1" s="189"/>
    <row r="260" ht="12.75" customHeight="1" s="189"/>
    <row r="261" ht="12.75" customHeight="1" s="189"/>
    <row r="262" ht="12.75" customHeight="1" s="189"/>
    <row r="263" ht="12.75" customHeight="1" s="189"/>
    <row r="264" ht="12.75" customHeight="1" s="189"/>
    <row r="265" ht="12.75" customHeight="1" s="189"/>
    <row r="266" ht="12.75" customHeight="1" s="189"/>
    <row r="267" ht="12.75" customHeight="1" s="189"/>
    <row r="268" ht="12.75" customHeight="1" s="189"/>
    <row r="269" ht="12.75" customHeight="1" s="189"/>
    <row r="270" ht="12.75" customHeight="1" s="189"/>
    <row r="271" ht="12.75" customHeight="1" s="189"/>
    <row r="272" ht="12.75" customHeight="1" s="189"/>
    <row r="273" ht="12.75" customHeight="1" s="189"/>
    <row r="274" ht="12.75" customHeight="1" s="189"/>
    <row r="275" ht="12.75" customHeight="1" s="189"/>
    <row r="276" ht="12.75" customHeight="1" s="189"/>
    <row r="277" ht="12.75" customHeight="1" s="189"/>
    <row r="278" ht="12.75" customHeight="1" s="189"/>
    <row r="279" ht="12.75" customHeight="1" s="189"/>
    <row r="280" ht="12.75" customHeight="1" s="189"/>
    <row r="281" ht="12.75" customHeight="1" s="189"/>
    <row r="282" ht="12.75" customHeight="1" s="189"/>
    <row r="283" ht="12.75" customHeight="1" s="189"/>
    <row r="284" ht="12.75" customHeight="1" s="189"/>
    <row r="285" ht="12.75" customHeight="1" s="189"/>
    <row r="286" ht="12.75" customHeight="1" s="189"/>
    <row r="287" ht="12.75" customHeight="1" s="189"/>
    <row r="288" ht="12.75" customHeight="1" s="189"/>
    <row r="289" ht="12.75" customHeight="1" s="189"/>
    <row r="290" ht="12.75" customHeight="1" s="189"/>
    <row r="291" ht="12.75" customHeight="1" s="189"/>
    <row r="292" ht="12.75" customHeight="1" s="189"/>
    <row r="293" ht="12.75" customHeight="1" s="189"/>
    <row r="294" ht="12.75" customHeight="1" s="189"/>
    <row r="295" ht="12.75" customHeight="1" s="189"/>
    <row r="296" ht="12.75" customHeight="1" s="189"/>
    <row r="297" ht="12.75" customHeight="1" s="189"/>
    <row r="298" ht="12.75" customHeight="1" s="189"/>
    <row r="299" ht="12.75" customHeight="1" s="189"/>
    <row r="300" ht="12.75" customHeight="1" s="189"/>
    <row r="301" ht="12.75" customHeight="1" s="189"/>
    <row r="302" ht="12.75" customHeight="1" s="189"/>
    <row r="303" ht="12.75" customHeight="1" s="189"/>
    <row r="304" ht="12.75" customHeight="1" s="189"/>
    <row r="305" ht="12.75" customHeight="1" s="189"/>
    <row r="306" ht="12.75" customHeight="1" s="189"/>
    <row r="307" ht="12.75" customHeight="1" s="189"/>
    <row r="308" ht="12.75" customHeight="1" s="189"/>
    <row r="309" ht="12.75" customHeight="1" s="189"/>
    <row r="310" ht="12.75" customHeight="1" s="189"/>
    <row r="311" ht="12.75" customHeight="1" s="189"/>
    <row r="312" ht="12.75" customHeight="1" s="189"/>
    <row r="313" ht="12.75" customHeight="1" s="189"/>
    <row r="314" ht="12.75" customHeight="1" s="189"/>
    <row r="315" ht="12.75" customHeight="1" s="189"/>
    <row r="316" ht="12.75" customHeight="1" s="189"/>
    <row r="317" ht="12.75" customHeight="1" s="189"/>
    <row r="318" ht="12.75" customHeight="1" s="189"/>
    <row r="319" ht="12.75" customHeight="1" s="189"/>
    <row r="320" ht="12.75" customHeight="1" s="189"/>
    <row r="321" ht="12.75" customHeight="1" s="189"/>
    <row r="322" ht="12.75" customHeight="1" s="189"/>
    <row r="323" ht="12.75" customHeight="1" s="189"/>
    <row r="324" ht="12.75" customHeight="1" s="189"/>
    <row r="325" ht="12.75" customHeight="1" s="189"/>
    <row r="326" ht="12.75" customHeight="1" s="189"/>
    <row r="327" ht="12.75" customHeight="1" s="189"/>
    <row r="328" ht="12.75" customHeight="1" s="189"/>
    <row r="329" ht="12.75" customHeight="1" s="189"/>
    <row r="330" ht="12.75" customHeight="1" s="189"/>
    <row r="331" ht="12.75" customHeight="1" s="189"/>
    <row r="332" ht="12.75" customHeight="1" s="189"/>
    <row r="333" ht="12.75" customHeight="1" s="189"/>
    <row r="334" ht="12.75" customHeight="1" s="189"/>
    <row r="335" ht="12.75" customHeight="1" s="189"/>
    <row r="336" ht="12.75" customHeight="1" s="189"/>
    <row r="337" ht="12.75" customHeight="1" s="189"/>
    <row r="338" ht="12.75" customHeight="1" s="189"/>
    <row r="339" ht="12.75" customHeight="1" s="189"/>
    <row r="340" ht="12.75" customHeight="1" s="189"/>
    <row r="341" ht="12.75" customHeight="1" s="189"/>
    <row r="342" ht="12.75" customHeight="1" s="189"/>
    <row r="343" ht="12.75" customHeight="1" s="189"/>
    <row r="344" ht="12.75" customHeight="1" s="189"/>
    <row r="345" ht="12.75" customHeight="1" s="189"/>
    <row r="346" ht="12.75" customHeight="1" s="189"/>
    <row r="347" ht="12.75" customHeight="1" s="189"/>
    <row r="348" ht="12.75" customHeight="1" s="189"/>
    <row r="349" ht="12.75" customHeight="1" s="189"/>
    <row r="350" ht="12.75" customHeight="1" s="189"/>
    <row r="351" ht="12.75" customHeight="1" s="189"/>
    <row r="352" ht="12.75" customHeight="1" s="189"/>
    <row r="353" ht="12.75" customHeight="1" s="189"/>
    <row r="354" ht="12.75" customHeight="1" s="189"/>
    <row r="355" ht="12.75" customHeight="1" s="189"/>
    <row r="356" ht="12.75" customHeight="1" s="189"/>
    <row r="357" ht="12.75" customHeight="1" s="189"/>
    <row r="358" ht="12.75" customHeight="1" s="189"/>
    <row r="359" ht="12.75" customHeight="1" s="189"/>
    <row r="360" ht="12.75" customHeight="1" s="189"/>
    <row r="361" ht="12.75" customHeight="1" s="189"/>
    <row r="362" ht="12.75" customHeight="1" s="189"/>
    <row r="363" ht="12.75" customHeight="1" s="189"/>
    <row r="364" ht="12.75" customHeight="1" s="189"/>
    <row r="365" ht="12.75" customHeight="1" s="189"/>
    <row r="366" ht="12.75" customHeight="1" s="189"/>
    <row r="367" ht="12.75" customHeight="1" s="189"/>
    <row r="368" ht="12.75" customHeight="1" s="189"/>
    <row r="369" ht="12.75" customHeight="1" s="189"/>
    <row r="370" ht="12.75" customHeight="1" s="189"/>
    <row r="371" ht="12.75" customHeight="1" s="189"/>
    <row r="372" ht="12.75" customHeight="1" s="189"/>
    <row r="373" ht="12.75" customHeight="1" s="189"/>
    <row r="374" ht="12.75" customHeight="1" s="189"/>
    <row r="375" ht="12.75" customHeight="1" s="189"/>
    <row r="376" ht="12.75" customHeight="1" s="189"/>
    <row r="377" ht="12.75" customHeight="1" s="189"/>
    <row r="378" ht="12.75" customHeight="1" s="189"/>
    <row r="379" ht="12.75" customHeight="1" s="189"/>
    <row r="380" ht="12.75" customHeight="1" s="189"/>
    <row r="381" ht="12.75" customHeight="1" s="189"/>
    <row r="382" ht="12.75" customHeight="1" s="189"/>
    <row r="383" ht="12.75" customHeight="1" s="189"/>
    <row r="384" ht="12.75" customHeight="1" s="189"/>
    <row r="385" ht="12.75" customHeight="1" s="189"/>
    <row r="386" ht="12.75" customHeight="1" s="189"/>
    <row r="387" ht="12.75" customHeight="1" s="189"/>
    <row r="388" ht="12.75" customHeight="1" s="189"/>
    <row r="389" ht="12.75" customHeight="1" s="189"/>
    <row r="390" ht="12.75" customHeight="1" s="189"/>
    <row r="391" ht="12.75" customHeight="1" s="189"/>
    <row r="392" ht="12.75" customHeight="1" s="189"/>
    <row r="393" ht="12.75" customHeight="1" s="189"/>
    <row r="394" ht="12.75" customHeight="1" s="189"/>
    <row r="395" ht="12.75" customHeight="1" s="189"/>
    <row r="396" ht="12.75" customHeight="1" s="189"/>
    <row r="397" ht="12.75" customHeight="1" s="189"/>
    <row r="398" ht="12.75" customHeight="1" s="189"/>
    <row r="399" ht="12.75" customHeight="1" s="189"/>
    <row r="400" ht="12.75" customHeight="1" s="189"/>
    <row r="401" ht="12.75" customHeight="1" s="189"/>
    <row r="402" ht="12.75" customHeight="1" s="189"/>
    <row r="403" ht="12.75" customHeight="1" s="189"/>
    <row r="404" ht="12.75" customHeight="1" s="189"/>
    <row r="405" ht="12.75" customHeight="1" s="189"/>
    <row r="406" ht="12.75" customHeight="1" s="189"/>
    <row r="407" ht="12.75" customHeight="1" s="189"/>
    <row r="408" ht="12.75" customHeight="1" s="189"/>
    <row r="409" ht="12.75" customHeight="1" s="189"/>
    <row r="410" ht="12.75" customHeight="1" s="189"/>
    <row r="411" ht="12.75" customHeight="1" s="189"/>
    <row r="412" ht="12.75" customHeight="1" s="189"/>
    <row r="413" ht="12.75" customHeight="1" s="189"/>
    <row r="414" ht="12.75" customHeight="1" s="189"/>
    <row r="415" ht="12.75" customHeight="1" s="189"/>
    <row r="416" ht="12.75" customHeight="1" s="189"/>
    <row r="417" ht="12.75" customHeight="1" s="189"/>
    <row r="418" ht="12.75" customHeight="1" s="189"/>
    <row r="419" ht="12.75" customHeight="1" s="189"/>
    <row r="420" ht="12.75" customHeight="1" s="189"/>
    <row r="421" ht="12.75" customHeight="1" s="189"/>
    <row r="422" ht="12.75" customHeight="1" s="189"/>
    <row r="423" ht="12.75" customHeight="1" s="189"/>
    <row r="424" ht="12.75" customHeight="1" s="189"/>
    <row r="425" ht="12.75" customHeight="1" s="189"/>
    <row r="426" ht="12.75" customHeight="1" s="189"/>
    <row r="427" ht="12.75" customHeight="1" s="189"/>
    <row r="428" ht="12.75" customHeight="1" s="189"/>
    <row r="429" ht="12.75" customHeight="1" s="189"/>
    <row r="430" ht="12.75" customHeight="1" s="189"/>
    <row r="431" ht="12.75" customHeight="1" s="189"/>
    <row r="432" ht="12.75" customHeight="1" s="189"/>
    <row r="433" ht="12.75" customHeight="1" s="189"/>
    <row r="434" ht="12.75" customHeight="1" s="189"/>
    <row r="435" ht="12.75" customHeight="1" s="189"/>
    <row r="436" ht="12.75" customHeight="1" s="189"/>
    <row r="437" ht="12.75" customHeight="1" s="189"/>
    <row r="438" ht="12.75" customHeight="1" s="189"/>
    <row r="439" ht="12.75" customHeight="1" s="189"/>
    <row r="440" ht="12.75" customHeight="1" s="189"/>
    <row r="441" ht="12.75" customHeight="1" s="189"/>
    <row r="442" ht="12.75" customHeight="1" s="189"/>
    <row r="443" ht="12.75" customHeight="1" s="189"/>
    <row r="444" ht="12.75" customHeight="1" s="189"/>
    <row r="445" ht="12.75" customHeight="1" s="189"/>
    <row r="446" ht="12.75" customHeight="1" s="189"/>
    <row r="447" ht="12.75" customHeight="1" s="189"/>
    <row r="448" ht="12.75" customHeight="1" s="189"/>
    <row r="449" ht="12.75" customHeight="1" s="189"/>
    <row r="450" ht="12.75" customHeight="1" s="189"/>
    <row r="451" ht="12.75" customHeight="1" s="189"/>
    <row r="452" ht="12.75" customHeight="1" s="189"/>
    <row r="453" ht="12.75" customHeight="1" s="189"/>
    <row r="454" ht="12.75" customHeight="1" s="189"/>
    <row r="455" ht="12.75" customHeight="1" s="189"/>
    <row r="456" ht="12.75" customHeight="1" s="189"/>
    <row r="457" ht="12.75" customHeight="1" s="189"/>
    <row r="458" ht="12.75" customHeight="1" s="189"/>
    <row r="459" ht="12.75" customHeight="1" s="189"/>
    <row r="460" ht="12.75" customHeight="1" s="189"/>
    <row r="461" ht="12.75" customHeight="1" s="189"/>
    <row r="462" ht="12.75" customHeight="1" s="189"/>
    <row r="463" ht="12.75" customHeight="1" s="189"/>
    <row r="464" ht="12.75" customHeight="1" s="189"/>
    <row r="465" ht="12.75" customHeight="1" s="189"/>
    <row r="466" ht="12.75" customHeight="1" s="189"/>
    <row r="467" ht="12.75" customHeight="1" s="189"/>
    <row r="468" ht="12.75" customHeight="1" s="189"/>
    <row r="469" ht="12.75" customHeight="1" s="189"/>
    <row r="470" ht="12.75" customHeight="1" s="189"/>
    <row r="471" ht="12.75" customHeight="1" s="189"/>
    <row r="472" ht="12.75" customHeight="1" s="189"/>
    <row r="473" ht="12.75" customHeight="1" s="189"/>
    <row r="474" ht="12.75" customHeight="1" s="189"/>
    <row r="475" ht="12.75" customHeight="1" s="189"/>
    <row r="476" ht="12.75" customHeight="1" s="189"/>
    <row r="477" ht="12.75" customHeight="1" s="189"/>
    <row r="478" ht="12.75" customHeight="1" s="189"/>
    <row r="479" ht="12.75" customHeight="1" s="189"/>
    <row r="480" ht="12.75" customHeight="1" s="189"/>
    <row r="481" ht="12.75" customHeight="1" s="189"/>
    <row r="482" ht="12.75" customHeight="1" s="189"/>
    <row r="483" ht="12.75" customHeight="1" s="189"/>
    <row r="484" ht="12.75" customHeight="1" s="189"/>
    <row r="485" ht="12.75" customHeight="1" s="189"/>
    <row r="486" ht="12.75" customHeight="1" s="189"/>
    <row r="487" ht="12.75" customHeight="1" s="189"/>
    <row r="488" ht="12.75" customHeight="1" s="189"/>
    <row r="489" ht="12.75" customHeight="1" s="189"/>
    <row r="490" ht="12.75" customHeight="1" s="189"/>
    <row r="491" ht="12.75" customHeight="1" s="189"/>
    <row r="492" ht="12.75" customHeight="1" s="189"/>
    <row r="493" ht="12.75" customHeight="1" s="189"/>
    <row r="494" ht="12.75" customHeight="1" s="189"/>
    <row r="495" ht="12.75" customHeight="1" s="189"/>
    <row r="496" ht="12.75" customHeight="1" s="189"/>
    <row r="497" ht="12.75" customHeight="1" s="189"/>
    <row r="498" ht="12.75" customHeight="1" s="189"/>
    <row r="499" ht="12.75" customHeight="1" s="189"/>
    <row r="500" ht="12.75" customHeight="1" s="189"/>
    <row r="501" ht="12.75" customHeight="1" s="189"/>
    <row r="502" ht="12.75" customHeight="1" s="189"/>
    <row r="503" ht="12.75" customHeight="1" s="189"/>
    <row r="504" ht="12.75" customHeight="1" s="189"/>
    <row r="505" ht="12.75" customHeight="1" s="189"/>
    <row r="506" ht="12.75" customHeight="1" s="189"/>
    <row r="507" ht="12.75" customHeight="1" s="189"/>
    <row r="508" ht="12.75" customHeight="1" s="189"/>
    <row r="509" ht="12.75" customHeight="1" s="189"/>
    <row r="510" ht="12.75" customHeight="1" s="189"/>
    <row r="511" ht="12.75" customHeight="1" s="189"/>
    <row r="512" ht="12.75" customHeight="1" s="189"/>
    <row r="513" ht="12.75" customHeight="1" s="189"/>
    <row r="514" ht="12.75" customHeight="1" s="189"/>
    <row r="515" ht="12.75" customHeight="1" s="189"/>
    <row r="516" ht="12.75" customHeight="1" s="189"/>
    <row r="517" ht="12.75" customHeight="1" s="189"/>
    <row r="518" ht="12.75" customHeight="1" s="189"/>
    <row r="519" ht="12.75" customHeight="1" s="189"/>
    <row r="520" ht="12.75" customHeight="1" s="189"/>
    <row r="521" ht="12.75" customHeight="1" s="189"/>
    <row r="522" ht="12.75" customHeight="1" s="189"/>
    <row r="523" ht="12.75" customHeight="1" s="189"/>
    <row r="524" ht="12.75" customHeight="1" s="189"/>
    <row r="525" ht="12.75" customHeight="1" s="189"/>
    <row r="526" ht="12.75" customHeight="1" s="189"/>
    <row r="527" ht="12.75" customHeight="1" s="189"/>
    <row r="528" ht="12.75" customHeight="1" s="189"/>
    <row r="529" ht="12.75" customHeight="1" s="189"/>
    <row r="530" ht="12.75" customHeight="1" s="189"/>
    <row r="531" ht="12.75" customHeight="1" s="189"/>
    <row r="532" ht="12.75" customHeight="1" s="189"/>
    <row r="533" ht="12.75" customHeight="1" s="189"/>
    <row r="534" ht="12.75" customHeight="1" s="189"/>
    <row r="535" ht="12.75" customHeight="1" s="189"/>
    <row r="536" ht="12.75" customHeight="1" s="189"/>
    <row r="537" ht="12.75" customHeight="1" s="189"/>
    <row r="538" ht="12.75" customHeight="1" s="189"/>
    <row r="539" ht="12.75" customHeight="1" s="189"/>
    <row r="540" ht="12.75" customHeight="1" s="189"/>
    <row r="541" ht="12.75" customHeight="1" s="189"/>
    <row r="542" ht="12.75" customHeight="1" s="189"/>
    <row r="543" ht="12.75" customHeight="1" s="189"/>
    <row r="544" ht="12.75" customHeight="1" s="189"/>
    <row r="545" ht="12.75" customHeight="1" s="189"/>
    <row r="546" ht="12.75" customHeight="1" s="189"/>
    <row r="547" ht="12.75" customHeight="1" s="189"/>
    <row r="548" ht="12.75" customHeight="1" s="189"/>
    <row r="549" ht="12.75" customHeight="1" s="189"/>
    <row r="550" ht="12.75" customHeight="1" s="189"/>
    <row r="551" ht="12.75" customHeight="1" s="189"/>
    <row r="552" ht="12.75" customHeight="1" s="189"/>
    <row r="553" ht="12.75" customHeight="1" s="189"/>
    <row r="554" ht="12.75" customHeight="1" s="189"/>
    <row r="555" ht="12.75" customHeight="1" s="189"/>
    <row r="556" ht="12.75" customHeight="1" s="189"/>
    <row r="557" ht="12.75" customHeight="1" s="189"/>
    <row r="558" ht="12.75" customHeight="1" s="189"/>
    <row r="559" ht="12.75" customHeight="1" s="189"/>
    <row r="560" ht="12.75" customHeight="1" s="189"/>
    <row r="561" ht="12.75" customHeight="1" s="189"/>
    <row r="562" ht="12.75" customHeight="1" s="189"/>
    <row r="563" ht="12.75" customHeight="1" s="189"/>
    <row r="564" ht="12.75" customHeight="1" s="189"/>
    <row r="565" ht="12.75" customHeight="1" s="189"/>
    <row r="566" ht="12.75" customHeight="1" s="189"/>
    <row r="567" ht="12.75" customHeight="1" s="189"/>
    <row r="568" ht="12.75" customHeight="1" s="189"/>
    <row r="569" ht="12.75" customHeight="1" s="189"/>
    <row r="570" ht="12.75" customHeight="1" s="189"/>
    <row r="571" ht="12.75" customHeight="1" s="189"/>
    <row r="572" ht="12.75" customHeight="1" s="189"/>
    <row r="573" ht="12.75" customHeight="1" s="189"/>
    <row r="574" ht="12.75" customHeight="1" s="189"/>
    <row r="575" ht="12.75" customHeight="1" s="189"/>
    <row r="576" ht="12.75" customHeight="1" s="189"/>
    <row r="577" ht="12.75" customHeight="1" s="189"/>
    <row r="578" ht="12.75" customHeight="1" s="189"/>
    <row r="579" ht="12.75" customHeight="1" s="189"/>
    <row r="580" ht="12.75" customHeight="1" s="189"/>
    <row r="581" ht="12.75" customHeight="1" s="189"/>
    <row r="582" ht="12.75" customHeight="1" s="189"/>
    <row r="583" ht="12.75" customHeight="1" s="189"/>
    <row r="584" ht="12.75" customHeight="1" s="189"/>
    <row r="585" ht="12.75" customHeight="1" s="189"/>
    <row r="586" ht="12.75" customHeight="1" s="189"/>
    <row r="587" ht="12.75" customHeight="1" s="189"/>
    <row r="588" ht="12.75" customHeight="1" s="189"/>
    <row r="589" ht="12.75" customHeight="1" s="189"/>
    <row r="590" ht="12.75" customHeight="1" s="189"/>
    <row r="591" ht="12.75" customHeight="1" s="189"/>
    <row r="592" ht="12.75" customHeight="1" s="189"/>
    <row r="593" ht="12.75" customHeight="1" s="189"/>
    <row r="594" ht="12.75" customHeight="1" s="189"/>
    <row r="595" ht="12.75" customHeight="1" s="189"/>
    <row r="596" ht="12.75" customHeight="1" s="189"/>
    <row r="597" ht="12.75" customHeight="1" s="189"/>
    <row r="598" ht="12.75" customHeight="1" s="189"/>
    <row r="599" ht="12.75" customHeight="1" s="189"/>
    <row r="600" ht="12.75" customHeight="1" s="189"/>
    <row r="601" ht="12.75" customHeight="1" s="189"/>
    <row r="602" ht="12.75" customHeight="1" s="189"/>
    <row r="603" ht="12.75" customHeight="1" s="189"/>
    <row r="604" ht="12.75" customHeight="1" s="189"/>
    <row r="605" ht="12.75" customHeight="1" s="189"/>
    <row r="606" ht="12.75" customHeight="1" s="189"/>
    <row r="607" ht="12.75" customHeight="1" s="189"/>
    <row r="608" ht="12.75" customHeight="1" s="189"/>
    <row r="609" ht="12.75" customHeight="1" s="189"/>
    <row r="610" ht="12.75" customHeight="1" s="189"/>
    <row r="611" ht="12.75" customHeight="1" s="189"/>
    <row r="612" ht="12.75" customHeight="1" s="189"/>
    <row r="613" ht="12.75" customHeight="1" s="189"/>
    <row r="614" ht="12.75" customHeight="1" s="189"/>
    <row r="615" ht="12.75" customHeight="1" s="189"/>
    <row r="616" ht="12.75" customHeight="1" s="189"/>
    <row r="617" ht="12.75" customHeight="1" s="189"/>
    <row r="618" ht="12.75" customHeight="1" s="189"/>
    <row r="619" ht="12.75" customHeight="1" s="189"/>
    <row r="620" ht="12.75" customHeight="1" s="189"/>
    <row r="621" ht="12.75" customHeight="1" s="189"/>
    <row r="622" ht="12.75" customHeight="1" s="189"/>
    <row r="623" ht="12.75" customHeight="1" s="189"/>
    <row r="624" ht="12.75" customHeight="1" s="189"/>
    <row r="625" ht="12.75" customHeight="1" s="189"/>
    <row r="626" ht="12.75" customHeight="1" s="189"/>
    <row r="627" ht="12.75" customHeight="1" s="189"/>
    <row r="628" ht="12.75" customHeight="1" s="189"/>
    <row r="629" ht="12.75" customHeight="1" s="189"/>
    <row r="630" ht="12.75" customHeight="1" s="189"/>
    <row r="631" ht="12.75" customHeight="1" s="189"/>
    <row r="632" ht="12.75" customHeight="1" s="189"/>
    <row r="633" ht="12.75" customHeight="1" s="189"/>
    <row r="634" ht="12.75" customHeight="1" s="189"/>
    <row r="635" ht="12.75" customHeight="1" s="189"/>
    <row r="636" ht="12.75" customHeight="1" s="189"/>
    <row r="637" ht="12.75" customHeight="1" s="189"/>
    <row r="638" ht="12.75" customHeight="1" s="189"/>
    <row r="639" ht="12.75" customHeight="1" s="189"/>
    <row r="640" ht="12.75" customHeight="1" s="189"/>
    <row r="641" ht="12.75" customHeight="1" s="189"/>
    <row r="642" ht="12.75" customHeight="1" s="189"/>
    <row r="643" ht="12.75" customHeight="1" s="189"/>
    <row r="644" ht="12.75" customHeight="1" s="189"/>
    <row r="645" ht="12.75" customHeight="1" s="189"/>
    <row r="646" ht="12.75" customHeight="1" s="189"/>
    <row r="647" ht="12.75" customHeight="1" s="189"/>
    <row r="648" ht="12.75" customHeight="1" s="189"/>
    <row r="649" ht="12.75" customHeight="1" s="189"/>
    <row r="650" ht="12.75" customHeight="1" s="189"/>
    <row r="651" ht="12.75" customHeight="1" s="189"/>
    <row r="652" ht="12.75" customHeight="1" s="189"/>
    <row r="653" ht="12.75" customHeight="1" s="189"/>
    <row r="654" ht="12.75" customHeight="1" s="189"/>
    <row r="655" ht="12.75" customHeight="1" s="189"/>
    <row r="656" ht="12.75" customHeight="1" s="189"/>
    <row r="657" ht="12.75" customHeight="1" s="189"/>
    <row r="658" ht="12.75" customHeight="1" s="189"/>
    <row r="659" ht="12.75" customHeight="1" s="189"/>
    <row r="660" ht="12.75" customHeight="1" s="189"/>
    <row r="661" ht="12.75" customHeight="1" s="189"/>
    <row r="662" ht="12.75" customHeight="1" s="189"/>
    <row r="663" ht="12.75" customHeight="1" s="189"/>
    <row r="664" ht="12.75" customHeight="1" s="189"/>
    <row r="665" ht="12.75" customHeight="1" s="189"/>
    <row r="666" ht="12.75" customHeight="1" s="189"/>
    <row r="667" ht="12.75" customHeight="1" s="189"/>
    <row r="668" ht="12.75" customHeight="1" s="189"/>
    <row r="669" ht="12.75" customHeight="1" s="189"/>
    <row r="670" ht="12.75" customHeight="1" s="189"/>
    <row r="671" ht="12.75" customHeight="1" s="189"/>
    <row r="672" ht="12.75" customHeight="1" s="189"/>
    <row r="673" ht="12.75" customHeight="1" s="189"/>
    <row r="674" ht="12.75" customHeight="1" s="189"/>
    <row r="675" ht="12.75" customHeight="1" s="189"/>
    <row r="676" ht="12.75" customHeight="1" s="189"/>
    <row r="677" ht="12.75" customHeight="1" s="189"/>
    <row r="678" ht="12.75" customHeight="1" s="189"/>
    <row r="679" ht="12.75" customHeight="1" s="189"/>
    <row r="680" ht="12.75" customHeight="1" s="189"/>
    <row r="681" ht="12.75" customHeight="1" s="189"/>
    <row r="682" ht="12.75" customHeight="1" s="189"/>
    <row r="683" ht="12.75" customHeight="1" s="189"/>
    <row r="684" ht="12.75" customHeight="1" s="189"/>
    <row r="685" ht="12.75" customHeight="1" s="189"/>
    <row r="686" ht="12.75" customHeight="1" s="189"/>
    <row r="687" ht="12.75" customHeight="1" s="189"/>
    <row r="688" ht="12.75" customHeight="1" s="189"/>
    <row r="689" ht="12.75" customHeight="1" s="189"/>
    <row r="690" ht="12.75" customHeight="1" s="189"/>
    <row r="691" ht="12.75" customHeight="1" s="189"/>
    <row r="692" ht="12.75" customHeight="1" s="189"/>
    <row r="693" ht="12.75" customHeight="1" s="189"/>
    <row r="694" ht="12.75" customHeight="1" s="189"/>
    <row r="695" ht="12.75" customHeight="1" s="189"/>
    <row r="696" ht="12.75" customHeight="1" s="189"/>
    <row r="697" ht="12.75" customHeight="1" s="189"/>
    <row r="698" ht="12.75" customHeight="1" s="189"/>
    <row r="699" ht="12.75" customHeight="1" s="189"/>
    <row r="700" ht="12.75" customHeight="1" s="189"/>
    <row r="701" ht="12.75" customHeight="1" s="189"/>
    <row r="702" ht="12.75" customHeight="1" s="189"/>
    <row r="703" ht="12.75" customHeight="1" s="189"/>
    <row r="704" ht="12.75" customHeight="1" s="189"/>
    <row r="705" ht="12.75" customHeight="1" s="189"/>
    <row r="706" ht="12.75" customHeight="1" s="189"/>
    <row r="707" ht="12.75" customHeight="1" s="189"/>
    <row r="708" ht="12.75" customHeight="1" s="189"/>
    <row r="709" ht="12.75" customHeight="1" s="189"/>
    <row r="710" ht="12.75" customHeight="1" s="189"/>
    <row r="711" ht="12.75" customHeight="1" s="189"/>
    <row r="712" ht="12.75" customHeight="1" s="189"/>
    <row r="713" ht="12.75" customHeight="1" s="189"/>
    <row r="714" ht="12.75" customHeight="1" s="189"/>
    <row r="715" ht="12.75" customHeight="1" s="189"/>
    <row r="716" ht="12.75" customHeight="1" s="189"/>
    <row r="717" ht="12.75" customHeight="1" s="189"/>
    <row r="718" ht="12.75" customHeight="1" s="189"/>
    <row r="719" ht="12.75" customHeight="1" s="189"/>
    <row r="720" ht="12.75" customHeight="1" s="189"/>
    <row r="721" ht="12.75" customHeight="1" s="189"/>
    <row r="722" ht="12.75" customHeight="1" s="189"/>
    <row r="723" ht="12.75" customHeight="1" s="189"/>
    <row r="724" ht="12.75" customHeight="1" s="189"/>
    <row r="725" ht="12.75" customHeight="1" s="189"/>
    <row r="726" ht="12.75" customHeight="1" s="189"/>
    <row r="727" ht="12.75" customHeight="1" s="189"/>
    <row r="728" ht="12.75" customHeight="1" s="189"/>
    <row r="729" ht="12.75" customHeight="1" s="189"/>
    <row r="730" ht="12.75" customHeight="1" s="189"/>
    <row r="731" ht="12.75" customHeight="1" s="189"/>
    <row r="732" ht="12.75" customHeight="1" s="189"/>
    <row r="733" ht="12.75" customHeight="1" s="189"/>
    <row r="734" ht="12.75" customHeight="1" s="189"/>
    <row r="735" ht="12.75" customHeight="1" s="189"/>
    <row r="736" ht="12.75" customHeight="1" s="189"/>
    <row r="737" ht="12.75" customHeight="1" s="189"/>
    <row r="738" ht="12.75" customHeight="1" s="189"/>
    <row r="739" ht="12.75" customHeight="1" s="189"/>
    <row r="740" ht="12.75" customHeight="1" s="189"/>
    <row r="741" ht="12.75" customHeight="1" s="189"/>
    <row r="742" ht="12.75" customHeight="1" s="189"/>
    <row r="743" ht="12.75" customHeight="1" s="189"/>
    <row r="744" ht="12.75" customHeight="1" s="189"/>
    <row r="745" ht="12.75" customHeight="1" s="189"/>
    <row r="746" ht="12.75" customHeight="1" s="189"/>
    <row r="747" ht="12.75" customHeight="1" s="189"/>
    <row r="748" ht="12.75" customHeight="1" s="189"/>
    <row r="749" ht="12.75" customHeight="1" s="189"/>
    <row r="750" ht="12.75" customHeight="1" s="189"/>
    <row r="751" ht="12.75" customHeight="1" s="189"/>
    <row r="752" ht="12.75" customHeight="1" s="189"/>
    <row r="753" ht="12.75" customHeight="1" s="189"/>
    <row r="754" ht="12.75" customHeight="1" s="189"/>
    <row r="755" ht="12.75" customHeight="1" s="189"/>
    <row r="756" ht="12.75" customHeight="1" s="189"/>
    <row r="757" ht="12.75" customHeight="1" s="189"/>
    <row r="758" ht="12.75" customHeight="1" s="189"/>
    <row r="759" ht="12.75" customHeight="1" s="189"/>
    <row r="760" ht="12.75" customHeight="1" s="189"/>
    <row r="761" ht="12.75" customHeight="1" s="189"/>
    <row r="762" ht="12.75" customHeight="1" s="189"/>
    <row r="763" ht="12.75" customHeight="1" s="189"/>
    <row r="764" ht="12.75" customHeight="1" s="189"/>
    <row r="765" ht="12.75" customHeight="1" s="189"/>
    <row r="766" ht="12.75" customHeight="1" s="189"/>
    <row r="767" ht="12.75" customHeight="1" s="189"/>
    <row r="768" ht="12.75" customHeight="1" s="189"/>
    <row r="769" ht="12.75" customHeight="1" s="189"/>
    <row r="770" ht="12.75" customHeight="1" s="189"/>
    <row r="771" ht="12.75" customHeight="1" s="189"/>
    <row r="772" ht="12.75" customHeight="1" s="189"/>
    <row r="773" ht="12.75" customHeight="1" s="189"/>
    <row r="774" ht="12.75" customHeight="1" s="189"/>
    <row r="775" ht="12.75" customHeight="1" s="189"/>
    <row r="776" ht="12.75" customHeight="1" s="189"/>
    <row r="777" ht="12.75" customHeight="1" s="189"/>
    <row r="778" ht="12.75" customHeight="1" s="189"/>
    <row r="779" ht="12.75" customHeight="1" s="189"/>
    <row r="780" ht="12.75" customHeight="1" s="189"/>
    <row r="781" ht="12.75" customHeight="1" s="189"/>
    <row r="782" ht="12.75" customHeight="1" s="189"/>
    <row r="783" ht="12.75" customHeight="1" s="189"/>
    <row r="784" ht="12.75" customHeight="1" s="189"/>
    <row r="785" ht="12.75" customHeight="1" s="189"/>
    <row r="786" ht="12.75" customHeight="1" s="189"/>
    <row r="787" ht="12.75" customHeight="1" s="189"/>
    <row r="788" ht="12.75" customHeight="1" s="189"/>
    <row r="789" ht="12.75" customHeight="1" s="189"/>
    <row r="790" ht="12.75" customHeight="1" s="189"/>
    <row r="791" ht="12.75" customHeight="1" s="189"/>
    <row r="792" ht="12.75" customHeight="1" s="189"/>
    <row r="793" ht="12.75" customHeight="1" s="189"/>
    <row r="794" ht="12.75" customHeight="1" s="189"/>
    <row r="795" ht="12.75" customHeight="1" s="189"/>
    <row r="796" ht="12.75" customHeight="1" s="189"/>
    <row r="797" ht="12.75" customHeight="1" s="189"/>
    <row r="798" ht="12.75" customHeight="1" s="189"/>
    <row r="799" ht="12.75" customHeight="1" s="189"/>
    <row r="800" ht="12.75" customHeight="1" s="189"/>
    <row r="801" ht="12.75" customHeight="1" s="189"/>
    <row r="802" ht="12.75" customHeight="1" s="189"/>
    <row r="803" ht="12.75" customHeight="1" s="189"/>
    <row r="804" ht="12.75" customHeight="1" s="189"/>
    <row r="805" ht="12.75" customHeight="1" s="189"/>
    <row r="806" ht="12.75" customHeight="1" s="189"/>
    <row r="807" ht="12.75" customHeight="1" s="189"/>
    <row r="808" ht="12.75" customHeight="1" s="189"/>
    <row r="809" ht="12.75" customHeight="1" s="189"/>
    <row r="810" ht="12.75" customHeight="1" s="189"/>
    <row r="811" ht="12.75" customHeight="1" s="189"/>
    <row r="812" ht="12.75" customHeight="1" s="189"/>
    <row r="813" ht="12.75" customHeight="1" s="189"/>
    <row r="814" ht="12.75" customHeight="1" s="189"/>
    <row r="815" ht="12.75" customHeight="1" s="189"/>
    <row r="816" ht="12.75" customHeight="1" s="189"/>
    <row r="817" ht="12.75" customHeight="1" s="189"/>
    <row r="818" ht="12.75" customHeight="1" s="189"/>
    <row r="819" ht="12.75" customHeight="1" s="189"/>
    <row r="820" ht="12.75" customHeight="1" s="189"/>
    <row r="821" ht="12.75" customHeight="1" s="189"/>
    <row r="822" ht="12.75" customHeight="1" s="189"/>
    <row r="823" ht="12.75" customHeight="1" s="189"/>
    <row r="824" ht="12.75" customHeight="1" s="189"/>
    <row r="825" ht="12.75" customHeight="1" s="189"/>
    <row r="826" ht="12.75" customHeight="1" s="189"/>
    <row r="827" ht="12.75" customHeight="1" s="189"/>
    <row r="828" ht="12.75" customHeight="1" s="189"/>
    <row r="829" ht="12.75" customHeight="1" s="189"/>
    <row r="830" ht="12.75" customHeight="1" s="189"/>
    <row r="831" ht="12.75" customHeight="1" s="189"/>
    <row r="832" ht="12.75" customHeight="1" s="189"/>
    <row r="833" ht="12.75" customHeight="1" s="189"/>
    <row r="834" ht="12.75" customHeight="1" s="189"/>
    <row r="835" ht="12.75" customHeight="1" s="189"/>
    <row r="836" ht="12.75" customHeight="1" s="189"/>
    <row r="837" ht="12.75" customHeight="1" s="189"/>
    <row r="838" ht="12.75" customHeight="1" s="189"/>
    <row r="839" ht="12.75" customHeight="1" s="189"/>
    <row r="840" ht="12.75" customHeight="1" s="189"/>
    <row r="841" ht="12.75" customHeight="1" s="189"/>
    <row r="842" ht="12.75" customHeight="1" s="189"/>
    <row r="843" ht="12.75" customHeight="1" s="189"/>
    <row r="844" ht="12.75" customHeight="1" s="189"/>
    <row r="845" ht="12.75" customHeight="1" s="189"/>
    <row r="846" ht="12.75" customHeight="1" s="189"/>
    <row r="847" ht="12.75" customHeight="1" s="189"/>
    <row r="848" ht="12.75" customHeight="1" s="189"/>
    <row r="849" ht="12.75" customHeight="1" s="189"/>
    <row r="850" ht="12.75" customHeight="1" s="189"/>
    <row r="851" ht="12.75" customHeight="1" s="189"/>
    <row r="852" ht="12.75" customHeight="1" s="189"/>
    <row r="853" ht="12.75" customHeight="1" s="189"/>
    <row r="854" ht="12.75" customHeight="1" s="189"/>
    <row r="855" ht="12.75" customHeight="1" s="189"/>
    <row r="856" ht="12.75" customHeight="1" s="189"/>
    <row r="857" ht="12.75" customHeight="1" s="189"/>
    <row r="858" ht="12.75" customHeight="1" s="189"/>
    <row r="859" ht="12.75" customHeight="1" s="189"/>
    <row r="860" ht="12.75" customHeight="1" s="189"/>
    <row r="861" ht="12.75" customHeight="1" s="189"/>
    <row r="862" ht="12.75" customHeight="1" s="189"/>
    <row r="863" ht="12.75" customHeight="1" s="189"/>
    <row r="864" ht="12.75" customHeight="1" s="189"/>
    <row r="865" ht="12.75" customHeight="1" s="189"/>
    <row r="866" ht="12.75" customHeight="1" s="189"/>
    <row r="867" ht="12.75" customHeight="1" s="189"/>
    <row r="868" ht="12.75" customHeight="1" s="189"/>
    <row r="869" ht="12.75" customHeight="1" s="189"/>
    <row r="870" ht="12.75" customHeight="1" s="189"/>
    <row r="871" ht="12.75" customHeight="1" s="189"/>
    <row r="872" ht="12.75" customHeight="1" s="189"/>
    <row r="873" ht="12.75" customHeight="1" s="189"/>
    <row r="874" ht="12.75" customHeight="1" s="189"/>
    <row r="875" ht="12.75" customHeight="1" s="189"/>
    <row r="876" ht="12.75" customHeight="1" s="189"/>
    <row r="877" ht="12.75" customHeight="1" s="189"/>
    <row r="878" ht="12.75" customHeight="1" s="189"/>
    <row r="879" ht="12.75" customHeight="1" s="189"/>
    <row r="880" ht="12.75" customHeight="1" s="189"/>
    <row r="881" ht="12.75" customHeight="1" s="189"/>
    <row r="882" ht="12.75" customHeight="1" s="189"/>
    <row r="883" ht="12.75" customHeight="1" s="189"/>
    <row r="884" ht="12.75" customHeight="1" s="189"/>
    <row r="885" ht="12.75" customHeight="1" s="189"/>
    <row r="886" ht="12.75" customHeight="1" s="189"/>
    <row r="887" ht="12.75" customHeight="1" s="189"/>
    <row r="888" ht="12.75" customHeight="1" s="189"/>
    <row r="889" ht="12.75" customHeight="1" s="189"/>
    <row r="890" ht="12.75" customHeight="1" s="189"/>
    <row r="891" ht="12.75" customHeight="1" s="189"/>
    <row r="892" ht="12.75" customHeight="1" s="189"/>
    <row r="893" ht="12.75" customHeight="1" s="189"/>
    <row r="894" ht="12.75" customHeight="1" s="189"/>
    <row r="895" ht="12.75" customHeight="1" s="189"/>
    <row r="896" ht="12.75" customHeight="1" s="189"/>
    <row r="897" ht="12.75" customHeight="1" s="189"/>
    <row r="898" ht="12.75" customHeight="1" s="189"/>
    <row r="899" ht="12.75" customHeight="1" s="189"/>
    <row r="900" ht="12.75" customHeight="1" s="189"/>
    <row r="901" ht="12.75" customHeight="1" s="189"/>
    <row r="902" ht="12.75" customHeight="1" s="189"/>
    <row r="903" ht="12.75" customHeight="1" s="189"/>
    <row r="904" ht="12.75" customHeight="1" s="189"/>
    <row r="905" ht="12.75" customHeight="1" s="189"/>
    <row r="906" ht="12.75" customHeight="1" s="189"/>
    <row r="907" ht="12.75" customHeight="1" s="189"/>
    <row r="908" ht="12.75" customHeight="1" s="189"/>
    <row r="909" ht="12.75" customHeight="1" s="189"/>
    <row r="910" ht="12.75" customHeight="1" s="189"/>
    <row r="911" ht="12.75" customHeight="1" s="189"/>
    <row r="912" ht="12.75" customHeight="1" s="189"/>
    <row r="913" ht="12.75" customHeight="1" s="189"/>
    <row r="914" ht="12.75" customHeight="1" s="189"/>
    <row r="915" ht="12.75" customHeight="1" s="189"/>
    <row r="916" ht="12.75" customHeight="1" s="189"/>
    <row r="917" ht="12.75" customHeight="1" s="189"/>
    <row r="918" ht="12.75" customHeight="1" s="189"/>
    <row r="919" ht="12.75" customHeight="1" s="189"/>
    <row r="920" ht="12.75" customHeight="1" s="189"/>
    <row r="921" ht="12.75" customHeight="1" s="189"/>
    <row r="922" ht="12.75" customHeight="1" s="189"/>
    <row r="923" ht="12.75" customHeight="1" s="189"/>
    <row r="924" ht="12.75" customHeight="1" s="189"/>
    <row r="925" ht="12.75" customHeight="1" s="189"/>
    <row r="926" ht="12.75" customHeight="1" s="189"/>
    <row r="927" ht="12.75" customHeight="1" s="189"/>
    <row r="928" ht="12.75" customHeight="1" s="189"/>
    <row r="929" ht="12.75" customHeight="1" s="189"/>
    <row r="930" ht="12.75" customHeight="1" s="189"/>
    <row r="931" ht="12.75" customHeight="1" s="189"/>
    <row r="932" ht="12.75" customHeight="1" s="189"/>
    <row r="933" ht="12.75" customHeight="1" s="189"/>
    <row r="934" ht="12.75" customHeight="1" s="189"/>
    <row r="935" ht="12.75" customHeight="1" s="189"/>
    <row r="936" ht="12.75" customHeight="1" s="189"/>
    <row r="937" ht="12.75" customHeight="1" s="189"/>
    <row r="938" ht="12.75" customHeight="1" s="189"/>
    <row r="939" ht="12.75" customHeight="1" s="189"/>
    <row r="940" ht="12.75" customHeight="1" s="189"/>
    <row r="941" ht="12.75" customHeight="1" s="189"/>
    <row r="942" ht="12.75" customHeight="1" s="189"/>
    <row r="943" ht="12.75" customHeight="1" s="189"/>
    <row r="944" ht="12.75" customHeight="1" s="189"/>
    <row r="945" ht="12.75" customHeight="1" s="189"/>
    <row r="946" ht="12.75" customHeight="1" s="189"/>
    <row r="947" ht="12.75" customHeight="1" s="189"/>
    <row r="948" ht="12.75" customHeight="1" s="189"/>
    <row r="949" ht="12.75" customHeight="1" s="189"/>
    <row r="950" ht="12.75" customHeight="1" s="189"/>
    <row r="951" ht="12.75" customHeight="1" s="189"/>
    <row r="952" ht="12.75" customHeight="1" s="189"/>
    <row r="953" ht="12.75" customHeight="1" s="189"/>
    <row r="954" ht="12.75" customHeight="1" s="189"/>
    <row r="955" ht="12.75" customHeight="1" s="189"/>
    <row r="956" ht="12.75" customHeight="1" s="189"/>
    <row r="957" ht="12.75" customHeight="1" s="189"/>
    <row r="958" ht="12.75" customHeight="1" s="189"/>
    <row r="959" ht="12.75" customHeight="1" s="189"/>
    <row r="960" ht="12.75" customHeight="1" s="189"/>
    <row r="961" ht="12.75" customHeight="1" s="189"/>
    <row r="962" ht="12.75" customHeight="1" s="189"/>
    <row r="963" ht="12.75" customHeight="1" s="189"/>
    <row r="964" ht="12.75" customHeight="1" s="189"/>
    <row r="965" ht="12.75" customHeight="1" s="189"/>
    <row r="966" ht="12.75" customHeight="1" s="189"/>
    <row r="967" ht="12.75" customHeight="1" s="189"/>
    <row r="968" ht="12.75" customHeight="1" s="189"/>
    <row r="969" ht="12.75" customHeight="1" s="189"/>
    <row r="970" ht="12.75" customHeight="1" s="189"/>
    <row r="971" ht="12.75" customHeight="1" s="189"/>
    <row r="972" ht="12.75" customHeight="1" s="189"/>
    <row r="973" ht="12.75" customHeight="1" s="189"/>
    <row r="974" ht="12.75" customHeight="1" s="189"/>
    <row r="975" ht="12.75" customHeight="1" s="189"/>
    <row r="976" ht="12.75" customHeight="1" s="189"/>
    <row r="977" ht="12.75" customHeight="1" s="189"/>
    <row r="978" ht="12.75" customHeight="1" s="189"/>
    <row r="979" ht="12.75" customHeight="1" s="189"/>
    <row r="980" ht="12.75" customHeight="1" s="189"/>
    <row r="981" ht="12.75" customHeight="1" s="189"/>
    <row r="982" ht="12.75" customHeight="1" s="189"/>
    <row r="983" ht="12.75" customHeight="1" s="189"/>
    <row r="984" ht="12.75" customHeight="1" s="189"/>
    <row r="985" ht="12.75" customHeight="1" s="189"/>
    <row r="986" ht="12.75" customHeight="1" s="189"/>
    <row r="987" ht="12.75" customHeight="1" s="189"/>
    <row r="988" ht="12.75" customHeight="1" s="189"/>
    <row r="989" ht="12.75" customHeight="1" s="189"/>
    <row r="990" ht="12.75" customHeight="1" s="189"/>
    <row r="991" ht="12.75" customHeight="1" s="189"/>
    <row r="992" ht="12.75" customHeight="1" s="189"/>
    <row r="993" ht="12.75" customHeight="1" s="189"/>
    <row r="994" ht="12.75" customHeight="1" s="189"/>
    <row r="995" ht="12.75" customHeight="1" s="189"/>
    <row r="996" ht="12.75" customHeight="1" s="189"/>
    <row r="997" ht="12.75" customHeight="1" s="189"/>
    <row r="998" ht="12.75" customHeight="1" s="189"/>
    <row r="999" ht="12.75" customHeight="1" s="189"/>
    <row r="1000" ht="12.75" customHeight="1" s="189"/>
  </sheetData>
  <mergeCells count="2">
    <mergeCell ref="J30:K30"/>
    <mergeCell ref="B1:L1"/>
  </mergeCells>
  <pageMargins left="0.7875" right="0.7875" top="1.05277777777778" bottom="1.05277777777778" header="0" footer="0"/>
  <pageSetup orientation="portrait" paperSize="9"/>
  <headerFooter>
    <oddHeader>&amp;C &amp;A</oddHeader>
    <oddFooter>&amp;C Página &amp;P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H32"/>
  <sheetViews>
    <sheetView workbookViewId="0">
      <selection activeCell="A1" sqref="A1"/>
    </sheetView>
  </sheetViews>
  <sheetFormatPr baseColWidth="8" defaultColWidth="12.63" defaultRowHeight="15" customHeight="1"/>
  <cols>
    <col width="3" customWidth="1" style="189" min="1" max="1"/>
    <col width="58" customWidth="1" style="189" min="2" max="2"/>
    <col width="24" customWidth="1" style="189" min="3" max="3"/>
    <col width="14" customWidth="1" style="189" min="4" max="8"/>
    <col width="8.75" customWidth="1" style="189" min="9" max="26"/>
  </cols>
  <sheetData>
    <row r="1" ht="17.25" customHeight="1" s="189">
      <c r="B1" s="145" t="inlineStr">
        <is>
          <t>Premissas e parâmetros do cronograma</t>
        </is>
      </c>
    </row>
    <row r="2" ht="15" customHeight="1" s="189">
      <c r="B2" s="144" t="n"/>
    </row>
    <row r="3" ht="12.75" customHeight="1" s="189"/>
    <row r="4" ht="15" customHeight="1" s="189">
      <c r="B4" s="146" t="inlineStr">
        <is>
          <t>Horas produtivas por pessoa/dia</t>
        </is>
      </c>
      <c r="C4" s="147" t="n">
        <v>6</v>
      </c>
      <c r="D4" s="144" t="n"/>
    </row>
    <row r="5" ht="15" customHeight="1" s="189">
      <c r="B5" s="146" t="inlineStr">
        <is>
          <t>% da fase de Desenvolvimento para implementação</t>
        </is>
      </c>
      <c r="C5" s="148" t="n">
        <v>0.8</v>
      </c>
      <c r="D5" s="144" t="n"/>
    </row>
    <row r="6" ht="15" customHeight="1" s="189">
      <c r="B6" s="146" t="inlineStr">
        <is>
          <t>% da fase de Desenvolvimento para testes (Selenium) e bugs</t>
        </is>
      </c>
      <c r="C6" s="149">
        <f>1-C5</f>
        <v/>
      </c>
    </row>
    <row r="7" ht="15" customHeight="1" s="189">
      <c r="B7" s="146" t="inlineStr">
        <is>
          <t>Data de início do projeto</t>
        </is>
      </c>
      <c r="C7" s="150" t="n">
        <v>46313</v>
      </c>
      <c r="D7" s="144" t="n"/>
    </row>
    <row r="8" ht="12.75" customHeight="1" s="189"/>
    <row r="9" ht="15" customHeight="1" s="189">
      <c r="B9" s="151" t="inlineStr">
        <is>
          <t>Feriados (excluídos dos dias úteis)</t>
        </is>
      </c>
      <c r="C9" s="151" t="inlineStr">
        <is>
          <t>Descrição</t>
        </is>
      </c>
    </row>
    <row r="10" ht="15" customHeight="1" s="189">
      <c r="B10" s="150" t="n">
        <v>46328</v>
      </c>
      <c r="C10" s="146" t="inlineStr">
        <is>
          <t>Finados (segunda-feira)</t>
        </is>
      </c>
      <c r="D10" s="144" t="n"/>
    </row>
    <row r="11" ht="15" customHeight="1" s="189">
      <c r="B11" s="152" t="n"/>
      <c r="C11" s="146" t="n"/>
    </row>
    <row r="12" ht="15" customHeight="1" s="189">
      <c r="B12" s="152" t="n"/>
      <c r="C12" s="146" t="n"/>
    </row>
    <row r="13" ht="15" customHeight="1" s="189">
      <c r="B13" s="152" t="n"/>
      <c r="C13" s="146" t="n"/>
    </row>
    <row r="14" ht="15" customHeight="1" s="189">
      <c r="B14" s="152" t="n"/>
      <c r="C14" s="146" t="n"/>
    </row>
    <row r="15" ht="12.75" customHeight="1" s="189"/>
    <row r="16" ht="12.75" customHeight="1" s="189"/>
    <row r="17" ht="15" customHeight="1" s="189">
      <c r="B17" s="153" t="n"/>
    </row>
    <row r="18" ht="42" customHeight="1" s="189">
      <c r="B18" s="154" t="n"/>
    </row>
    <row r="19" ht="42" customHeight="1" s="189">
      <c r="B19" s="155" t="n"/>
    </row>
    <row r="20" ht="42" customHeight="1" s="189">
      <c r="B20" s="154" t="n"/>
    </row>
    <row r="21" ht="42" customHeight="1" s="189">
      <c r="B21" s="154" t="n"/>
    </row>
    <row r="22" ht="42" customHeight="1" s="189">
      <c r="B22" s="154" t="n"/>
    </row>
    <row r="23" ht="42" customHeight="1" s="189">
      <c r="B23" s="154" t="n"/>
    </row>
    <row r="24" ht="42" customHeight="1" s="189">
      <c r="B24" s="154" t="n"/>
    </row>
    <row r="25" ht="42" customHeight="1" s="189">
      <c r="B25" s="154" t="n"/>
    </row>
    <row r="26" ht="42" customHeight="1" s="189">
      <c r="B26" s="154" t="n"/>
    </row>
    <row r="27" ht="42" customHeight="1" s="189">
      <c r="B27" s="154" t="n"/>
    </row>
    <row r="28" ht="42" customHeight="1" s="189">
      <c r="B28" s="154" t="n"/>
    </row>
    <row r="29" ht="42" customHeight="1" s="189">
      <c r="B29" s="154" t="n"/>
    </row>
    <row r="30" ht="42" customHeight="1" s="189">
      <c r="B30" s="154" t="n"/>
    </row>
    <row r="31" ht="42" customHeight="1" s="189">
      <c r="B31" s="154" t="n"/>
    </row>
    <row r="32" ht="42" customHeight="1" s="189">
      <c r="B32" s="154" t="n"/>
    </row>
    <row r="33" ht="12.75" customHeight="1" s="189"/>
    <row r="34" ht="12.75" customHeight="1" s="189"/>
    <row r="35" ht="12.75" customHeight="1" s="189"/>
    <row r="36" ht="12.75" customHeight="1" s="189"/>
    <row r="37" ht="12.75" customHeight="1" s="189"/>
    <row r="38" ht="12.75" customHeight="1" s="189"/>
    <row r="39" ht="12.75" customHeight="1" s="189"/>
    <row r="40" ht="12.75" customHeight="1" s="189"/>
    <row r="41" ht="12.75" customHeight="1" s="189"/>
    <row r="42" ht="12.75" customHeight="1" s="189"/>
    <row r="43" ht="12.75" customHeight="1" s="189"/>
    <row r="44" ht="12.75" customHeight="1" s="189"/>
    <row r="45" ht="12.75" customHeight="1" s="189"/>
    <row r="46" ht="12.75" customHeight="1" s="189"/>
    <row r="47" ht="12.75" customHeight="1" s="189"/>
    <row r="48" ht="12.75" customHeight="1" s="189"/>
    <row r="49" ht="12.75" customHeight="1" s="189"/>
    <row r="50" ht="12.75" customHeight="1" s="189"/>
    <row r="51" ht="12.75" customHeight="1" s="189"/>
    <row r="52" ht="12.75" customHeight="1" s="189"/>
    <row r="53" ht="12.75" customHeight="1" s="189"/>
    <row r="54" ht="12.75" customHeight="1" s="189"/>
    <row r="55" ht="12.75" customHeight="1" s="189"/>
    <row r="56" ht="12.75" customHeight="1" s="189"/>
    <row r="57" ht="12.75" customHeight="1" s="189"/>
    <row r="58" ht="12.75" customHeight="1" s="189"/>
    <row r="59" ht="12.75" customHeight="1" s="189"/>
    <row r="60" ht="12.75" customHeight="1" s="189"/>
    <row r="61" ht="12.75" customHeight="1" s="189"/>
    <row r="62" ht="12.75" customHeight="1" s="189"/>
    <row r="63" ht="12.75" customHeight="1" s="189"/>
    <row r="64" ht="12.75" customHeight="1" s="189"/>
    <row r="65" ht="12.75" customHeight="1" s="189"/>
    <row r="66" ht="12.75" customHeight="1" s="189"/>
    <row r="67" ht="12.75" customHeight="1" s="189"/>
    <row r="68" ht="12.75" customHeight="1" s="189"/>
    <row r="69" ht="12.75" customHeight="1" s="189"/>
    <row r="70" ht="12.75" customHeight="1" s="189"/>
    <row r="71" ht="12.75" customHeight="1" s="189"/>
    <row r="72" ht="12.75" customHeight="1" s="189"/>
    <row r="73" ht="12.75" customHeight="1" s="189"/>
    <row r="74" ht="12.75" customHeight="1" s="189"/>
    <row r="75" ht="12.75" customHeight="1" s="189"/>
    <row r="76" ht="12.75" customHeight="1" s="189"/>
    <row r="77" ht="12.75" customHeight="1" s="189"/>
    <row r="78" ht="12.75" customHeight="1" s="189"/>
    <row r="79" ht="12.75" customHeight="1" s="189"/>
    <row r="80" ht="12.75" customHeight="1" s="189"/>
    <row r="81" ht="12.75" customHeight="1" s="189"/>
    <row r="82" ht="12.75" customHeight="1" s="189"/>
    <row r="83" ht="12.75" customHeight="1" s="189"/>
    <row r="84" ht="12.75" customHeight="1" s="189"/>
    <row r="85" ht="12.75" customHeight="1" s="189"/>
    <row r="86" ht="12.75" customHeight="1" s="189"/>
    <row r="87" ht="12.75" customHeight="1" s="189"/>
    <row r="88" ht="12.75" customHeight="1" s="189"/>
    <row r="89" ht="12.75" customHeight="1" s="189"/>
    <row r="90" ht="12.75" customHeight="1" s="189"/>
    <row r="91" ht="12.75" customHeight="1" s="189"/>
    <row r="92" ht="12.75" customHeight="1" s="189"/>
    <row r="93" ht="12.75" customHeight="1" s="189"/>
    <row r="94" ht="12.75" customHeight="1" s="189"/>
    <row r="95" ht="12.75" customHeight="1" s="189"/>
    <row r="96" ht="12.75" customHeight="1" s="189"/>
    <row r="97" ht="12.75" customHeight="1" s="189"/>
    <row r="98" ht="12.75" customHeight="1" s="189"/>
    <row r="99" ht="12.75" customHeight="1" s="189"/>
    <row r="100" ht="12.75" customHeight="1" s="189"/>
    <row r="101" ht="12.75" customHeight="1" s="189"/>
    <row r="102" ht="12.75" customHeight="1" s="189"/>
    <row r="103" ht="12.75" customHeight="1" s="189"/>
    <row r="104" ht="12.75" customHeight="1" s="189"/>
    <row r="105" ht="12.75" customHeight="1" s="189"/>
    <row r="106" ht="12.75" customHeight="1" s="189"/>
    <row r="107" ht="12.75" customHeight="1" s="189"/>
    <row r="108" ht="12.75" customHeight="1" s="189"/>
    <row r="109" ht="12.75" customHeight="1" s="189"/>
    <row r="110" ht="12.75" customHeight="1" s="189"/>
    <row r="111" ht="12.75" customHeight="1" s="189"/>
    <row r="112" ht="12.75" customHeight="1" s="189"/>
    <row r="113" ht="12.75" customHeight="1" s="189"/>
    <row r="114" ht="12.75" customHeight="1" s="189"/>
    <row r="115" ht="12.75" customHeight="1" s="189"/>
    <row r="116" ht="12.75" customHeight="1" s="189"/>
    <row r="117" ht="12.75" customHeight="1" s="189"/>
    <row r="118" ht="12.75" customHeight="1" s="189"/>
    <row r="119" ht="12.75" customHeight="1" s="189"/>
    <row r="120" ht="12.75" customHeight="1" s="189"/>
    <row r="121" ht="12.75" customHeight="1" s="189"/>
    <row r="122" ht="12.75" customHeight="1" s="189"/>
    <row r="123" ht="12.75" customHeight="1" s="189"/>
    <row r="124" ht="12.75" customHeight="1" s="189"/>
    <row r="125" ht="12.75" customHeight="1" s="189"/>
    <row r="126" ht="12.75" customHeight="1" s="189"/>
    <row r="127" ht="12.75" customHeight="1" s="189"/>
    <row r="128" ht="12.75" customHeight="1" s="189"/>
    <row r="129" ht="12.75" customHeight="1" s="189"/>
    <row r="130" ht="12.75" customHeight="1" s="189"/>
    <row r="131" ht="12.75" customHeight="1" s="189"/>
    <row r="132" ht="12.75" customHeight="1" s="189"/>
    <row r="133" ht="12.75" customHeight="1" s="189"/>
    <row r="134" ht="12.75" customHeight="1" s="189"/>
    <row r="135" ht="12.75" customHeight="1" s="189"/>
    <row r="136" ht="12.75" customHeight="1" s="189"/>
    <row r="137" ht="12.75" customHeight="1" s="189"/>
    <row r="138" ht="12.75" customHeight="1" s="189"/>
    <row r="139" ht="12.75" customHeight="1" s="189"/>
    <row r="140" ht="12.75" customHeight="1" s="189"/>
    <row r="141" ht="12.75" customHeight="1" s="189"/>
    <row r="142" ht="12.75" customHeight="1" s="189"/>
    <row r="143" ht="12.75" customHeight="1" s="189"/>
    <row r="144" ht="12.75" customHeight="1" s="189"/>
    <row r="145" ht="12.75" customHeight="1" s="189"/>
    <row r="146" ht="12.75" customHeight="1" s="189"/>
    <row r="147" ht="12.75" customHeight="1" s="189"/>
    <row r="148" ht="12.75" customHeight="1" s="189"/>
    <row r="149" ht="12.75" customHeight="1" s="189"/>
    <row r="150" ht="12.75" customHeight="1" s="189"/>
    <row r="151" ht="12.75" customHeight="1" s="189"/>
    <row r="152" ht="12.75" customHeight="1" s="189"/>
    <row r="153" ht="12.75" customHeight="1" s="189"/>
    <row r="154" ht="12.75" customHeight="1" s="189"/>
    <row r="155" ht="12.75" customHeight="1" s="189"/>
    <row r="156" ht="12.75" customHeight="1" s="189"/>
    <row r="157" ht="12.75" customHeight="1" s="189"/>
    <row r="158" ht="12.75" customHeight="1" s="189"/>
    <row r="159" ht="12.75" customHeight="1" s="189"/>
    <row r="160" ht="12.75" customHeight="1" s="189"/>
    <row r="161" ht="12.75" customHeight="1" s="189"/>
    <row r="162" ht="12.75" customHeight="1" s="189"/>
    <row r="163" ht="12.75" customHeight="1" s="189"/>
    <row r="164" ht="12.75" customHeight="1" s="189"/>
    <row r="165" ht="12.75" customHeight="1" s="189"/>
    <row r="166" ht="12.75" customHeight="1" s="189"/>
    <row r="167" ht="12.75" customHeight="1" s="189"/>
    <row r="168" ht="12.75" customHeight="1" s="189"/>
    <row r="169" ht="12.75" customHeight="1" s="189"/>
    <row r="170" ht="12.75" customHeight="1" s="189"/>
    <row r="171" ht="12.75" customHeight="1" s="189"/>
    <row r="172" ht="12.75" customHeight="1" s="189"/>
    <row r="173" ht="12.75" customHeight="1" s="189"/>
    <row r="174" ht="12.75" customHeight="1" s="189"/>
    <row r="175" ht="12.75" customHeight="1" s="189"/>
    <row r="176" ht="12.75" customHeight="1" s="189"/>
    <row r="177" ht="12.75" customHeight="1" s="189"/>
    <row r="178" ht="12.75" customHeight="1" s="189"/>
    <row r="179" ht="12.75" customHeight="1" s="189"/>
    <row r="180" ht="12.75" customHeight="1" s="189"/>
    <row r="181" ht="12.75" customHeight="1" s="189"/>
    <row r="182" ht="12.75" customHeight="1" s="189"/>
    <row r="183" ht="12.75" customHeight="1" s="189"/>
    <row r="184" ht="12.75" customHeight="1" s="189"/>
    <row r="185" ht="12.75" customHeight="1" s="189"/>
    <row r="186" ht="12.75" customHeight="1" s="189"/>
    <row r="187" ht="12.75" customHeight="1" s="189"/>
    <row r="188" ht="12.75" customHeight="1" s="189"/>
    <row r="189" ht="12.75" customHeight="1" s="189"/>
    <row r="190" ht="12.75" customHeight="1" s="189"/>
    <row r="191" ht="12.75" customHeight="1" s="189"/>
    <row r="192" ht="12.75" customHeight="1" s="189"/>
    <row r="193" ht="12.75" customHeight="1" s="189"/>
    <row r="194" ht="12.75" customHeight="1" s="189"/>
    <row r="195" ht="12.75" customHeight="1" s="189"/>
    <row r="196" ht="12.75" customHeight="1" s="189"/>
    <row r="197" ht="12.75" customHeight="1" s="189"/>
    <row r="198" ht="12.75" customHeight="1" s="189"/>
    <row r="199" ht="12.75" customHeight="1" s="189"/>
    <row r="200" ht="12.75" customHeight="1" s="189"/>
    <row r="201" ht="12.75" customHeight="1" s="189"/>
    <row r="202" ht="12.75" customHeight="1" s="189"/>
    <row r="203" ht="12.75" customHeight="1" s="189"/>
    <row r="204" ht="12.75" customHeight="1" s="189"/>
    <row r="205" ht="12.75" customHeight="1" s="189"/>
    <row r="206" ht="12.75" customHeight="1" s="189"/>
    <row r="207" ht="12.75" customHeight="1" s="189"/>
    <row r="208" ht="12.75" customHeight="1" s="189"/>
    <row r="209" ht="12.75" customHeight="1" s="189"/>
    <row r="210" ht="12.75" customHeight="1" s="189"/>
    <row r="211" ht="12.75" customHeight="1" s="189"/>
    <row r="212" ht="12.75" customHeight="1" s="189"/>
    <row r="213" ht="12.75" customHeight="1" s="189"/>
    <row r="214" ht="12.75" customHeight="1" s="189"/>
    <row r="215" ht="12.75" customHeight="1" s="189"/>
    <row r="216" ht="12.75" customHeight="1" s="189"/>
    <row r="217" ht="12.75" customHeight="1" s="189"/>
    <row r="218" ht="12.75" customHeight="1" s="189"/>
    <row r="219" ht="12.75" customHeight="1" s="189"/>
    <row r="220" ht="12.75" customHeight="1" s="189"/>
    <row r="221" ht="12.75" customHeight="1" s="189"/>
    <row r="222" ht="12.75" customHeight="1" s="189"/>
    <row r="223" ht="12.75" customHeight="1" s="189"/>
    <row r="224" ht="12.75" customHeight="1" s="189"/>
    <row r="225" ht="12.75" customHeight="1" s="189"/>
    <row r="226" ht="12.75" customHeight="1" s="189"/>
    <row r="227" ht="12.75" customHeight="1" s="189"/>
    <row r="228" ht="12.75" customHeight="1" s="189"/>
    <row r="229" ht="12.75" customHeight="1" s="189"/>
    <row r="230" ht="12.75" customHeight="1" s="189"/>
    <row r="231" ht="12.75" customHeight="1" s="189"/>
    <row r="232" ht="12.75" customHeight="1" s="189"/>
    <row r="233" ht="12.75" customHeight="1" s="189"/>
    <row r="234" ht="12.75" customHeight="1" s="189"/>
    <row r="235" ht="12.75" customHeight="1" s="189"/>
    <row r="236" ht="12.75" customHeight="1" s="189"/>
    <row r="237" ht="12.75" customHeight="1" s="189"/>
    <row r="238" ht="12.75" customHeight="1" s="189"/>
    <row r="239" ht="12.75" customHeight="1" s="189"/>
    <row r="240" ht="12.75" customHeight="1" s="189"/>
    <row r="241" ht="12.75" customHeight="1" s="189"/>
    <row r="242" ht="12.75" customHeight="1" s="189"/>
    <row r="243" ht="12.75" customHeight="1" s="189"/>
    <row r="244" ht="12.75" customHeight="1" s="189"/>
    <row r="245" ht="12.75" customHeight="1" s="189"/>
    <row r="246" ht="12.75" customHeight="1" s="189"/>
    <row r="247" ht="12.75" customHeight="1" s="189"/>
    <row r="248" ht="12.75" customHeight="1" s="189"/>
    <row r="249" ht="12.75" customHeight="1" s="189"/>
    <row r="250" ht="12.75" customHeight="1" s="189"/>
    <row r="251" ht="12.75" customHeight="1" s="189"/>
    <row r="252" ht="12.75" customHeight="1" s="189"/>
    <row r="253" ht="12.75" customHeight="1" s="189"/>
    <row r="254" ht="12.75" customHeight="1" s="189"/>
    <row r="255" ht="12.75" customHeight="1" s="189"/>
    <row r="256" ht="12.75" customHeight="1" s="189"/>
    <row r="257" ht="12.75" customHeight="1" s="189"/>
    <row r="258" ht="12.75" customHeight="1" s="189"/>
    <row r="259" ht="12.75" customHeight="1" s="189"/>
    <row r="260" ht="12.75" customHeight="1" s="189"/>
    <row r="261" ht="12.75" customHeight="1" s="189"/>
    <row r="262" ht="12.75" customHeight="1" s="189"/>
    <row r="263" ht="12.75" customHeight="1" s="189"/>
    <row r="264" ht="12.75" customHeight="1" s="189"/>
    <row r="265" ht="12.75" customHeight="1" s="189"/>
    <row r="266" ht="12.75" customHeight="1" s="189"/>
    <row r="267" ht="12.75" customHeight="1" s="189"/>
    <row r="268" ht="12.75" customHeight="1" s="189"/>
    <row r="269" ht="12.75" customHeight="1" s="189"/>
    <row r="270" ht="12.75" customHeight="1" s="189"/>
    <row r="271" ht="12.75" customHeight="1" s="189"/>
    <row r="272" ht="12.75" customHeight="1" s="189"/>
    <row r="273" ht="12.75" customHeight="1" s="189"/>
    <row r="274" ht="12.75" customHeight="1" s="189"/>
    <row r="275" ht="12.75" customHeight="1" s="189"/>
    <row r="276" ht="12.75" customHeight="1" s="189"/>
    <row r="277" ht="12.75" customHeight="1" s="189"/>
    <row r="278" ht="12.75" customHeight="1" s="189"/>
    <row r="279" ht="12.75" customHeight="1" s="189"/>
    <row r="280" ht="12.75" customHeight="1" s="189"/>
    <row r="281" ht="12.75" customHeight="1" s="189"/>
    <row r="282" ht="12.75" customHeight="1" s="189"/>
    <row r="283" ht="12.75" customHeight="1" s="189"/>
    <row r="284" ht="12.75" customHeight="1" s="189"/>
    <row r="285" ht="12.75" customHeight="1" s="189"/>
    <row r="286" ht="12.75" customHeight="1" s="189"/>
    <row r="287" ht="12.75" customHeight="1" s="189"/>
    <row r="288" ht="12.75" customHeight="1" s="189"/>
    <row r="289" ht="12.75" customHeight="1" s="189"/>
    <row r="290" ht="12.75" customHeight="1" s="189"/>
    <row r="291" ht="12.75" customHeight="1" s="189"/>
    <row r="292" ht="12.75" customHeight="1" s="189"/>
    <row r="293" ht="12.75" customHeight="1" s="189"/>
    <row r="294" ht="12.75" customHeight="1" s="189"/>
    <row r="295" ht="12.75" customHeight="1" s="189"/>
    <row r="296" ht="12.75" customHeight="1" s="189"/>
    <row r="297" ht="12.75" customHeight="1" s="189"/>
    <row r="298" ht="12.75" customHeight="1" s="189"/>
    <row r="299" ht="12.75" customHeight="1" s="189"/>
    <row r="300" ht="12.75" customHeight="1" s="189"/>
    <row r="301" ht="12.75" customHeight="1" s="189"/>
    <row r="302" ht="12.75" customHeight="1" s="189"/>
    <row r="303" ht="12.75" customHeight="1" s="189"/>
    <row r="304" ht="12.75" customHeight="1" s="189"/>
    <row r="305" ht="12.75" customHeight="1" s="189"/>
    <row r="306" ht="12.75" customHeight="1" s="189"/>
    <row r="307" ht="12.75" customHeight="1" s="189"/>
    <row r="308" ht="12.75" customHeight="1" s="189"/>
    <row r="309" ht="12.75" customHeight="1" s="189"/>
    <row r="310" ht="12.75" customHeight="1" s="189"/>
    <row r="311" ht="12.75" customHeight="1" s="189"/>
    <row r="312" ht="12.75" customHeight="1" s="189"/>
    <row r="313" ht="12.75" customHeight="1" s="189"/>
    <row r="314" ht="12.75" customHeight="1" s="189"/>
    <row r="315" ht="12.75" customHeight="1" s="189"/>
    <row r="316" ht="12.75" customHeight="1" s="189"/>
    <row r="317" ht="12.75" customHeight="1" s="189"/>
    <row r="318" ht="12.75" customHeight="1" s="189"/>
    <row r="319" ht="12.75" customHeight="1" s="189"/>
    <row r="320" ht="12.75" customHeight="1" s="189"/>
    <row r="321" ht="12.75" customHeight="1" s="189"/>
    <row r="322" ht="12.75" customHeight="1" s="189"/>
    <row r="323" ht="12.75" customHeight="1" s="189"/>
    <row r="324" ht="12.75" customHeight="1" s="189"/>
    <row r="325" ht="12.75" customHeight="1" s="189"/>
    <row r="326" ht="12.75" customHeight="1" s="189"/>
    <row r="327" ht="12.75" customHeight="1" s="189"/>
    <row r="328" ht="12.75" customHeight="1" s="189"/>
    <row r="329" ht="12.75" customHeight="1" s="189"/>
    <row r="330" ht="12.75" customHeight="1" s="189"/>
    <row r="331" ht="12.75" customHeight="1" s="189"/>
    <row r="332" ht="12.75" customHeight="1" s="189"/>
    <row r="333" ht="12.75" customHeight="1" s="189"/>
    <row r="334" ht="12.75" customHeight="1" s="189"/>
    <row r="335" ht="12.75" customHeight="1" s="189"/>
    <row r="336" ht="12.75" customHeight="1" s="189"/>
    <row r="337" ht="12.75" customHeight="1" s="189"/>
    <row r="338" ht="12.75" customHeight="1" s="189"/>
    <row r="339" ht="12.75" customHeight="1" s="189"/>
    <row r="340" ht="12.75" customHeight="1" s="189"/>
    <row r="341" ht="12.75" customHeight="1" s="189"/>
    <row r="342" ht="12.75" customHeight="1" s="189"/>
    <row r="343" ht="12.75" customHeight="1" s="189"/>
    <row r="344" ht="12.75" customHeight="1" s="189"/>
    <row r="345" ht="12.75" customHeight="1" s="189"/>
    <row r="346" ht="12.75" customHeight="1" s="189"/>
    <row r="347" ht="12.75" customHeight="1" s="189"/>
    <row r="348" ht="12.75" customHeight="1" s="189"/>
    <row r="349" ht="12.75" customHeight="1" s="189"/>
    <row r="350" ht="12.75" customHeight="1" s="189"/>
    <row r="351" ht="12.75" customHeight="1" s="189"/>
    <row r="352" ht="12.75" customHeight="1" s="189"/>
    <row r="353" ht="12.75" customHeight="1" s="189"/>
    <row r="354" ht="12.75" customHeight="1" s="189"/>
    <row r="355" ht="12.75" customHeight="1" s="189"/>
    <row r="356" ht="12.75" customHeight="1" s="189"/>
    <row r="357" ht="12.75" customHeight="1" s="189"/>
    <row r="358" ht="12.75" customHeight="1" s="189"/>
    <row r="359" ht="12.75" customHeight="1" s="189"/>
    <row r="360" ht="12.75" customHeight="1" s="189"/>
    <row r="361" ht="12.75" customHeight="1" s="189"/>
    <row r="362" ht="12.75" customHeight="1" s="189"/>
    <row r="363" ht="12.75" customHeight="1" s="189"/>
    <row r="364" ht="12.75" customHeight="1" s="189"/>
    <row r="365" ht="12.75" customHeight="1" s="189"/>
    <row r="366" ht="12.75" customHeight="1" s="189"/>
    <row r="367" ht="12.75" customHeight="1" s="189"/>
    <row r="368" ht="12.75" customHeight="1" s="189"/>
    <row r="369" ht="12.75" customHeight="1" s="189"/>
    <row r="370" ht="12.75" customHeight="1" s="189"/>
    <row r="371" ht="12.75" customHeight="1" s="189"/>
    <row r="372" ht="12.75" customHeight="1" s="189"/>
    <row r="373" ht="12.75" customHeight="1" s="189"/>
    <row r="374" ht="12.75" customHeight="1" s="189"/>
    <row r="375" ht="12.75" customHeight="1" s="189"/>
    <row r="376" ht="12.75" customHeight="1" s="189"/>
    <row r="377" ht="12.75" customHeight="1" s="189"/>
    <row r="378" ht="12.75" customHeight="1" s="189"/>
    <row r="379" ht="12.75" customHeight="1" s="189"/>
    <row r="380" ht="12.75" customHeight="1" s="189"/>
    <row r="381" ht="12.75" customHeight="1" s="189"/>
    <row r="382" ht="12.75" customHeight="1" s="189"/>
    <row r="383" ht="12.75" customHeight="1" s="189"/>
    <row r="384" ht="12.75" customHeight="1" s="189"/>
    <row r="385" ht="12.75" customHeight="1" s="189"/>
    <row r="386" ht="12.75" customHeight="1" s="189"/>
    <row r="387" ht="12.75" customHeight="1" s="189"/>
    <row r="388" ht="12.75" customHeight="1" s="189"/>
    <row r="389" ht="12.75" customHeight="1" s="189"/>
    <row r="390" ht="12.75" customHeight="1" s="189"/>
    <row r="391" ht="12.75" customHeight="1" s="189"/>
    <row r="392" ht="12.75" customHeight="1" s="189"/>
    <row r="393" ht="12.75" customHeight="1" s="189"/>
    <row r="394" ht="12.75" customHeight="1" s="189"/>
    <row r="395" ht="12.75" customHeight="1" s="189"/>
    <row r="396" ht="12.75" customHeight="1" s="189"/>
    <row r="397" ht="12.75" customHeight="1" s="189"/>
    <row r="398" ht="12.75" customHeight="1" s="189"/>
    <row r="399" ht="12.75" customHeight="1" s="189"/>
    <row r="400" ht="12.75" customHeight="1" s="189"/>
    <row r="401" ht="12.75" customHeight="1" s="189"/>
    <row r="402" ht="12.75" customHeight="1" s="189"/>
    <row r="403" ht="12.75" customHeight="1" s="189"/>
    <row r="404" ht="12.75" customHeight="1" s="189"/>
    <row r="405" ht="12.75" customHeight="1" s="189"/>
    <row r="406" ht="12.75" customHeight="1" s="189"/>
    <row r="407" ht="12.75" customHeight="1" s="189"/>
    <row r="408" ht="12.75" customHeight="1" s="189"/>
    <row r="409" ht="12.75" customHeight="1" s="189"/>
    <row r="410" ht="12.75" customHeight="1" s="189"/>
    <row r="411" ht="12.75" customHeight="1" s="189"/>
    <row r="412" ht="12.75" customHeight="1" s="189"/>
    <row r="413" ht="12.75" customHeight="1" s="189"/>
    <row r="414" ht="12.75" customHeight="1" s="189"/>
    <row r="415" ht="12.75" customHeight="1" s="189"/>
    <row r="416" ht="12.75" customHeight="1" s="189"/>
    <row r="417" ht="12.75" customHeight="1" s="189"/>
    <row r="418" ht="12.75" customHeight="1" s="189"/>
    <row r="419" ht="12.75" customHeight="1" s="189"/>
    <row r="420" ht="12.75" customHeight="1" s="189"/>
    <row r="421" ht="12.75" customHeight="1" s="189"/>
    <row r="422" ht="12.75" customHeight="1" s="189"/>
    <row r="423" ht="12.75" customHeight="1" s="189"/>
    <row r="424" ht="12.75" customHeight="1" s="189"/>
    <row r="425" ht="12.75" customHeight="1" s="189"/>
    <row r="426" ht="12.75" customHeight="1" s="189"/>
    <row r="427" ht="12.75" customHeight="1" s="189"/>
    <row r="428" ht="12.75" customHeight="1" s="189"/>
    <row r="429" ht="12.75" customHeight="1" s="189"/>
    <row r="430" ht="12.75" customHeight="1" s="189"/>
    <row r="431" ht="12.75" customHeight="1" s="189"/>
    <row r="432" ht="12.75" customHeight="1" s="189"/>
    <row r="433" ht="12.75" customHeight="1" s="189"/>
    <row r="434" ht="12.75" customHeight="1" s="189"/>
    <row r="435" ht="12.75" customHeight="1" s="189"/>
    <row r="436" ht="12.75" customHeight="1" s="189"/>
    <row r="437" ht="12.75" customHeight="1" s="189"/>
    <row r="438" ht="12.75" customHeight="1" s="189"/>
    <row r="439" ht="12.75" customHeight="1" s="189"/>
    <row r="440" ht="12.75" customHeight="1" s="189"/>
    <row r="441" ht="12.75" customHeight="1" s="189"/>
    <row r="442" ht="12.75" customHeight="1" s="189"/>
    <row r="443" ht="12.75" customHeight="1" s="189"/>
    <row r="444" ht="12.75" customHeight="1" s="189"/>
    <row r="445" ht="12.75" customHeight="1" s="189"/>
    <row r="446" ht="12.75" customHeight="1" s="189"/>
    <row r="447" ht="12.75" customHeight="1" s="189"/>
    <row r="448" ht="12.75" customHeight="1" s="189"/>
    <row r="449" ht="12.75" customHeight="1" s="189"/>
    <row r="450" ht="12.75" customHeight="1" s="189"/>
    <row r="451" ht="12.75" customHeight="1" s="189"/>
    <row r="452" ht="12.75" customHeight="1" s="189"/>
    <row r="453" ht="12.75" customHeight="1" s="189"/>
    <row r="454" ht="12.75" customHeight="1" s="189"/>
    <row r="455" ht="12.75" customHeight="1" s="189"/>
    <row r="456" ht="12.75" customHeight="1" s="189"/>
    <row r="457" ht="12.75" customHeight="1" s="189"/>
    <row r="458" ht="12.75" customHeight="1" s="189"/>
    <row r="459" ht="12.75" customHeight="1" s="189"/>
    <row r="460" ht="12.75" customHeight="1" s="189"/>
    <row r="461" ht="12.75" customHeight="1" s="189"/>
    <row r="462" ht="12.75" customHeight="1" s="189"/>
    <row r="463" ht="12.75" customHeight="1" s="189"/>
    <row r="464" ht="12.75" customHeight="1" s="189"/>
    <row r="465" ht="12.75" customHeight="1" s="189"/>
    <row r="466" ht="12.75" customHeight="1" s="189"/>
    <row r="467" ht="12.75" customHeight="1" s="189"/>
    <row r="468" ht="12.75" customHeight="1" s="189"/>
    <row r="469" ht="12.75" customHeight="1" s="189"/>
    <row r="470" ht="12.75" customHeight="1" s="189"/>
    <row r="471" ht="12.75" customHeight="1" s="189"/>
    <row r="472" ht="12.75" customHeight="1" s="189"/>
    <row r="473" ht="12.75" customHeight="1" s="189"/>
    <row r="474" ht="12.75" customHeight="1" s="189"/>
    <row r="475" ht="12.75" customHeight="1" s="189"/>
    <row r="476" ht="12.75" customHeight="1" s="189"/>
    <row r="477" ht="12.75" customHeight="1" s="189"/>
    <row r="478" ht="12.75" customHeight="1" s="189"/>
    <row r="479" ht="12.75" customHeight="1" s="189"/>
    <row r="480" ht="12.75" customHeight="1" s="189"/>
    <row r="481" ht="12.75" customHeight="1" s="189"/>
    <row r="482" ht="12.75" customHeight="1" s="189"/>
    <row r="483" ht="12.75" customHeight="1" s="189"/>
    <row r="484" ht="12.75" customHeight="1" s="189"/>
    <row r="485" ht="12.75" customHeight="1" s="189"/>
    <row r="486" ht="12.75" customHeight="1" s="189"/>
    <row r="487" ht="12.75" customHeight="1" s="189"/>
    <row r="488" ht="12.75" customHeight="1" s="189"/>
    <row r="489" ht="12.75" customHeight="1" s="189"/>
    <row r="490" ht="12.75" customHeight="1" s="189"/>
    <row r="491" ht="12.75" customHeight="1" s="189"/>
    <row r="492" ht="12.75" customHeight="1" s="189"/>
    <row r="493" ht="12.75" customHeight="1" s="189"/>
    <row r="494" ht="12.75" customHeight="1" s="189"/>
    <row r="495" ht="12.75" customHeight="1" s="189"/>
    <row r="496" ht="12.75" customHeight="1" s="189"/>
    <row r="497" ht="12.75" customHeight="1" s="189"/>
    <row r="498" ht="12.75" customHeight="1" s="189"/>
    <row r="499" ht="12.75" customHeight="1" s="189"/>
    <row r="500" ht="12.75" customHeight="1" s="189"/>
    <row r="501" ht="12.75" customHeight="1" s="189"/>
    <row r="502" ht="12.75" customHeight="1" s="189"/>
    <row r="503" ht="12.75" customHeight="1" s="189"/>
    <row r="504" ht="12.75" customHeight="1" s="189"/>
    <row r="505" ht="12.75" customHeight="1" s="189"/>
    <row r="506" ht="12.75" customHeight="1" s="189"/>
    <row r="507" ht="12.75" customHeight="1" s="189"/>
    <row r="508" ht="12.75" customHeight="1" s="189"/>
    <row r="509" ht="12.75" customHeight="1" s="189"/>
    <row r="510" ht="12.75" customHeight="1" s="189"/>
    <row r="511" ht="12.75" customHeight="1" s="189"/>
    <row r="512" ht="12.75" customHeight="1" s="189"/>
    <row r="513" ht="12.75" customHeight="1" s="189"/>
    <row r="514" ht="12.75" customHeight="1" s="189"/>
    <row r="515" ht="12.75" customHeight="1" s="189"/>
    <row r="516" ht="12.75" customHeight="1" s="189"/>
    <row r="517" ht="12.75" customHeight="1" s="189"/>
    <row r="518" ht="12.75" customHeight="1" s="189"/>
    <row r="519" ht="12.75" customHeight="1" s="189"/>
    <row r="520" ht="12.75" customHeight="1" s="189"/>
    <row r="521" ht="12.75" customHeight="1" s="189"/>
    <row r="522" ht="12.75" customHeight="1" s="189"/>
    <row r="523" ht="12.75" customHeight="1" s="189"/>
    <row r="524" ht="12.75" customHeight="1" s="189"/>
    <row r="525" ht="12.75" customHeight="1" s="189"/>
    <row r="526" ht="12.75" customHeight="1" s="189"/>
    <row r="527" ht="12.75" customHeight="1" s="189"/>
    <row r="528" ht="12.75" customHeight="1" s="189"/>
    <row r="529" ht="12.75" customHeight="1" s="189"/>
    <row r="530" ht="12.75" customHeight="1" s="189"/>
    <row r="531" ht="12.75" customHeight="1" s="189"/>
    <row r="532" ht="12.75" customHeight="1" s="189"/>
    <row r="533" ht="12.75" customHeight="1" s="189"/>
    <row r="534" ht="12.75" customHeight="1" s="189"/>
    <row r="535" ht="12.75" customHeight="1" s="189"/>
    <row r="536" ht="12.75" customHeight="1" s="189"/>
    <row r="537" ht="12.75" customHeight="1" s="189"/>
    <row r="538" ht="12.75" customHeight="1" s="189"/>
    <row r="539" ht="12.75" customHeight="1" s="189"/>
    <row r="540" ht="12.75" customHeight="1" s="189"/>
    <row r="541" ht="12.75" customHeight="1" s="189"/>
    <row r="542" ht="12.75" customHeight="1" s="189"/>
    <row r="543" ht="12.75" customHeight="1" s="189"/>
    <row r="544" ht="12.75" customHeight="1" s="189"/>
    <row r="545" ht="12.75" customHeight="1" s="189"/>
    <row r="546" ht="12.75" customHeight="1" s="189"/>
    <row r="547" ht="12.75" customHeight="1" s="189"/>
    <row r="548" ht="12.75" customHeight="1" s="189"/>
    <row r="549" ht="12.75" customHeight="1" s="189"/>
    <row r="550" ht="12.75" customHeight="1" s="189"/>
    <row r="551" ht="12.75" customHeight="1" s="189"/>
    <row r="552" ht="12.75" customHeight="1" s="189"/>
    <row r="553" ht="12.75" customHeight="1" s="189"/>
    <row r="554" ht="12.75" customHeight="1" s="189"/>
    <row r="555" ht="12.75" customHeight="1" s="189"/>
    <row r="556" ht="12.75" customHeight="1" s="189"/>
    <row r="557" ht="12.75" customHeight="1" s="189"/>
    <row r="558" ht="12.75" customHeight="1" s="189"/>
    <row r="559" ht="12.75" customHeight="1" s="189"/>
    <row r="560" ht="12.75" customHeight="1" s="189"/>
    <row r="561" ht="12.75" customHeight="1" s="189"/>
    <row r="562" ht="12.75" customHeight="1" s="189"/>
    <row r="563" ht="12.75" customHeight="1" s="189"/>
    <row r="564" ht="12.75" customHeight="1" s="189"/>
    <row r="565" ht="12.75" customHeight="1" s="189"/>
    <row r="566" ht="12.75" customHeight="1" s="189"/>
    <row r="567" ht="12.75" customHeight="1" s="189"/>
    <row r="568" ht="12.75" customHeight="1" s="189"/>
    <row r="569" ht="12.75" customHeight="1" s="189"/>
    <row r="570" ht="12.75" customHeight="1" s="189"/>
    <row r="571" ht="12.75" customHeight="1" s="189"/>
    <row r="572" ht="12.75" customHeight="1" s="189"/>
    <row r="573" ht="12.75" customHeight="1" s="189"/>
    <row r="574" ht="12.75" customHeight="1" s="189"/>
    <row r="575" ht="12.75" customHeight="1" s="189"/>
    <row r="576" ht="12.75" customHeight="1" s="189"/>
    <row r="577" ht="12.75" customHeight="1" s="189"/>
    <row r="578" ht="12.75" customHeight="1" s="189"/>
    <row r="579" ht="12.75" customHeight="1" s="189"/>
    <row r="580" ht="12.75" customHeight="1" s="189"/>
    <row r="581" ht="12.75" customHeight="1" s="189"/>
    <row r="582" ht="12.75" customHeight="1" s="189"/>
    <row r="583" ht="12.75" customHeight="1" s="189"/>
    <row r="584" ht="12.75" customHeight="1" s="189"/>
    <row r="585" ht="12.75" customHeight="1" s="189"/>
    <row r="586" ht="12.75" customHeight="1" s="189"/>
    <row r="587" ht="12.75" customHeight="1" s="189"/>
    <row r="588" ht="12.75" customHeight="1" s="189"/>
    <row r="589" ht="12.75" customHeight="1" s="189"/>
    <row r="590" ht="12.75" customHeight="1" s="189"/>
    <row r="591" ht="12.75" customHeight="1" s="189"/>
    <row r="592" ht="12.75" customHeight="1" s="189"/>
    <row r="593" ht="12.75" customHeight="1" s="189"/>
    <row r="594" ht="12.75" customHeight="1" s="189"/>
    <row r="595" ht="12.75" customHeight="1" s="189"/>
    <row r="596" ht="12.75" customHeight="1" s="189"/>
    <row r="597" ht="12.75" customHeight="1" s="189"/>
    <row r="598" ht="12.75" customHeight="1" s="189"/>
    <row r="599" ht="12.75" customHeight="1" s="189"/>
    <row r="600" ht="12.75" customHeight="1" s="189"/>
    <row r="601" ht="12.75" customHeight="1" s="189"/>
    <row r="602" ht="12.75" customHeight="1" s="189"/>
    <row r="603" ht="12.75" customHeight="1" s="189"/>
    <row r="604" ht="12.75" customHeight="1" s="189"/>
    <row r="605" ht="12.75" customHeight="1" s="189"/>
    <row r="606" ht="12.75" customHeight="1" s="189"/>
    <row r="607" ht="12.75" customHeight="1" s="189"/>
    <row r="608" ht="12.75" customHeight="1" s="189"/>
    <row r="609" ht="12.75" customHeight="1" s="189"/>
    <row r="610" ht="12.75" customHeight="1" s="189"/>
    <row r="611" ht="12.75" customHeight="1" s="189"/>
    <row r="612" ht="12.75" customHeight="1" s="189"/>
    <row r="613" ht="12.75" customHeight="1" s="189"/>
    <row r="614" ht="12.75" customHeight="1" s="189"/>
    <row r="615" ht="12.75" customHeight="1" s="189"/>
    <row r="616" ht="12.75" customHeight="1" s="189"/>
    <row r="617" ht="12.75" customHeight="1" s="189"/>
    <row r="618" ht="12.75" customHeight="1" s="189"/>
    <row r="619" ht="12.75" customHeight="1" s="189"/>
    <row r="620" ht="12.75" customHeight="1" s="189"/>
    <row r="621" ht="12.75" customHeight="1" s="189"/>
    <row r="622" ht="12.75" customHeight="1" s="189"/>
    <row r="623" ht="12.75" customHeight="1" s="189"/>
    <row r="624" ht="12.75" customHeight="1" s="189"/>
    <row r="625" ht="12.75" customHeight="1" s="189"/>
    <row r="626" ht="12.75" customHeight="1" s="189"/>
    <row r="627" ht="12.75" customHeight="1" s="189"/>
    <row r="628" ht="12.75" customHeight="1" s="189"/>
    <row r="629" ht="12.75" customHeight="1" s="189"/>
    <row r="630" ht="12.75" customHeight="1" s="189"/>
    <row r="631" ht="12.75" customHeight="1" s="189"/>
    <row r="632" ht="12.75" customHeight="1" s="189"/>
    <row r="633" ht="12.75" customHeight="1" s="189"/>
    <row r="634" ht="12.75" customHeight="1" s="189"/>
    <row r="635" ht="12.75" customHeight="1" s="189"/>
    <row r="636" ht="12.75" customHeight="1" s="189"/>
    <row r="637" ht="12.75" customHeight="1" s="189"/>
    <row r="638" ht="12.75" customHeight="1" s="189"/>
    <row r="639" ht="12.75" customHeight="1" s="189"/>
    <row r="640" ht="12.75" customHeight="1" s="189"/>
    <row r="641" ht="12.75" customHeight="1" s="189"/>
    <row r="642" ht="12.75" customHeight="1" s="189"/>
    <row r="643" ht="12.75" customHeight="1" s="189"/>
    <row r="644" ht="12.75" customHeight="1" s="189"/>
    <row r="645" ht="12.75" customHeight="1" s="189"/>
    <row r="646" ht="12.75" customHeight="1" s="189"/>
    <row r="647" ht="12.75" customHeight="1" s="189"/>
    <row r="648" ht="12.75" customHeight="1" s="189"/>
    <row r="649" ht="12.75" customHeight="1" s="189"/>
    <row r="650" ht="12.75" customHeight="1" s="189"/>
    <row r="651" ht="12.75" customHeight="1" s="189"/>
    <row r="652" ht="12.75" customHeight="1" s="189"/>
    <row r="653" ht="12.75" customHeight="1" s="189"/>
    <row r="654" ht="12.75" customHeight="1" s="189"/>
    <row r="655" ht="12.75" customHeight="1" s="189"/>
    <row r="656" ht="12.75" customHeight="1" s="189"/>
    <row r="657" ht="12.75" customHeight="1" s="189"/>
    <row r="658" ht="12.75" customHeight="1" s="189"/>
    <row r="659" ht="12.75" customHeight="1" s="189"/>
    <row r="660" ht="12.75" customHeight="1" s="189"/>
    <row r="661" ht="12.75" customHeight="1" s="189"/>
    <row r="662" ht="12.75" customHeight="1" s="189"/>
    <row r="663" ht="12.75" customHeight="1" s="189"/>
    <row r="664" ht="12.75" customHeight="1" s="189"/>
    <row r="665" ht="12.75" customHeight="1" s="189"/>
    <row r="666" ht="12.75" customHeight="1" s="189"/>
    <row r="667" ht="12.75" customHeight="1" s="189"/>
    <row r="668" ht="12.75" customHeight="1" s="189"/>
    <row r="669" ht="12.75" customHeight="1" s="189"/>
    <row r="670" ht="12.75" customHeight="1" s="189"/>
    <row r="671" ht="12.75" customHeight="1" s="189"/>
    <row r="672" ht="12.75" customHeight="1" s="189"/>
    <row r="673" ht="12.75" customHeight="1" s="189"/>
    <row r="674" ht="12.75" customHeight="1" s="189"/>
    <row r="675" ht="12.75" customHeight="1" s="189"/>
    <row r="676" ht="12.75" customHeight="1" s="189"/>
    <row r="677" ht="12.75" customHeight="1" s="189"/>
    <row r="678" ht="12.75" customHeight="1" s="189"/>
    <row r="679" ht="12.75" customHeight="1" s="189"/>
    <row r="680" ht="12.75" customHeight="1" s="189"/>
    <row r="681" ht="12.75" customHeight="1" s="189"/>
    <row r="682" ht="12.75" customHeight="1" s="189"/>
    <row r="683" ht="12.75" customHeight="1" s="189"/>
    <row r="684" ht="12.75" customHeight="1" s="189"/>
    <row r="685" ht="12.75" customHeight="1" s="189"/>
    <row r="686" ht="12.75" customHeight="1" s="189"/>
    <row r="687" ht="12.75" customHeight="1" s="189"/>
    <row r="688" ht="12.75" customHeight="1" s="189"/>
    <row r="689" ht="12.75" customHeight="1" s="189"/>
    <row r="690" ht="12.75" customHeight="1" s="189"/>
    <row r="691" ht="12.75" customHeight="1" s="189"/>
    <row r="692" ht="12.75" customHeight="1" s="189"/>
    <row r="693" ht="12.75" customHeight="1" s="189"/>
    <row r="694" ht="12.75" customHeight="1" s="189"/>
    <row r="695" ht="12.75" customHeight="1" s="189"/>
    <row r="696" ht="12.75" customHeight="1" s="189"/>
    <row r="697" ht="12.75" customHeight="1" s="189"/>
    <row r="698" ht="12.75" customHeight="1" s="189"/>
    <row r="699" ht="12.75" customHeight="1" s="189"/>
    <row r="700" ht="12.75" customHeight="1" s="189"/>
    <row r="701" ht="12.75" customHeight="1" s="189"/>
    <row r="702" ht="12.75" customHeight="1" s="189"/>
    <row r="703" ht="12.75" customHeight="1" s="189"/>
    <row r="704" ht="12.75" customHeight="1" s="189"/>
    <row r="705" ht="12.75" customHeight="1" s="189"/>
    <row r="706" ht="12.75" customHeight="1" s="189"/>
    <row r="707" ht="12.75" customHeight="1" s="189"/>
    <row r="708" ht="12.75" customHeight="1" s="189"/>
    <row r="709" ht="12.75" customHeight="1" s="189"/>
    <row r="710" ht="12.75" customHeight="1" s="189"/>
    <row r="711" ht="12.75" customHeight="1" s="189"/>
    <row r="712" ht="12.75" customHeight="1" s="189"/>
    <row r="713" ht="12.75" customHeight="1" s="189"/>
    <row r="714" ht="12.75" customHeight="1" s="189"/>
    <row r="715" ht="12.75" customHeight="1" s="189"/>
    <row r="716" ht="12.75" customHeight="1" s="189"/>
    <row r="717" ht="12.75" customHeight="1" s="189"/>
    <row r="718" ht="12.75" customHeight="1" s="189"/>
    <row r="719" ht="12.75" customHeight="1" s="189"/>
    <row r="720" ht="12.75" customHeight="1" s="189"/>
    <row r="721" ht="12.75" customHeight="1" s="189"/>
    <row r="722" ht="12.75" customHeight="1" s="189"/>
    <row r="723" ht="12.75" customHeight="1" s="189"/>
    <row r="724" ht="12.75" customHeight="1" s="189"/>
    <row r="725" ht="12.75" customHeight="1" s="189"/>
    <row r="726" ht="12.75" customHeight="1" s="189"/>
    <row r="727" ht="12.75" customHeight="1" s="189"/>
    <row r="728" ht="12.75" customHeight="1" s="189"/>
    <row r="729" ht="12.75" customHeight="1" s="189"/>
    <row r="730" ht="12.75" customHeight="1" s="189"/>
    <row r="731" ht="12.75" customHeight="1" s="189"/>
    <row r="732" ht="12.75" customHeight="1" s="189"/>
    <row r="733" ht="12.75" customHeight="1" s="189"/>
    <row r="734" ht="12.75" customHeight="1" s="189"/>
    <row r="735" ht="12.75" customHeight="1" s="189"/>
    <row r="736" ht="12.75" customHeight="1" s="189"/>
    <row r="737" ht="12.75" customHeight="1" s="189"/>
    <row r="738" ht="12.75" customHeight="1" s="189"/>
    <row r="739" ht="12.75" customHeight="1" s="189"/>
    <row r="740" ht="12.75" customHeight="1" s="189"/>
    <row r="741" ht="12.75" customHeight="1" s="189"/>
    <row r="742" ht="12.75" customHeight="1" s="189"/>
    <row r="743" ht="12.75" customHeight="1" s="189"/>
    <row r="744" ht="12.75" customHeight="1" s="189"/>
    <row r="745" ht="12.75" customHeight="1" s="189"/>
    <row r="746" ht="12.75" customHeight="1" s="189"/>
    <row r="747" ht="12.75" customHeight="1" s="189"/>
    <row r="748" ht="12.75" customHeight="1" s="189"/>
    <row r="749" ht="12.75" customHeight="1" s="189"/>
    <row r="750" ht="12.75" customHeight="1" s="189"/>
    <row r="751" ht="12.75" customHeight="1" s="189"/>
    <row r="752" ht="12.75" customHeight="1" s="189"/>
    <row r="753" ht="12.75" customHeight="1" s="189"/>
    <row r="754" ht="12.75" customHeight="1" s="189"/>
    <row r="755" ht="12.75" customHeight="1" s="189"/>
    <row r="756" ht="12.75" customHeight="1" s="189"/>
    <row r="757" ht="12.75" customHeight="1" s="189"/>
    <row r="758" ht="12.75" customHeight="1" s="189"/>
    <row r="759" ht="12.75" customHeight="1" s="189"/>
    <row r="760" ht="12.75" customHeight="1" s="189"/>
    <row r="761" ht="12.75" customHeight="1" s="189"/>
    <row r="762" ht="12.75" customHeight="1" s="189"/>
    <row r="763" ht="12.75" customHeight="1" s="189"/>
    <row r="764" ht="12.75" customHeight="1" s="189"/>
    <row r="765" ht="12.75" customHeight="1" s="189"/>
    <row r="766" ht="12.75" customHeight="1" s="189"/>
    <row r="767" ht="12.75" customHeight="1" s="189"/>
    <row r="768" ht="12.75" customHeight="1" s="189"/>
    <row r="769" ht="12.75" customHeight="1" s="189"/>
    <row r="770" ht="12.75" customHeight="1" s="189"/>
    <row r="771" ht="12.75" customHeight="1" s="189"/>
    <row r="772" ht="12.75" customHeight="1" s="189"/>
    <row r="773" ht="12.75" customHeight="1" s="189"/>
    <row r="774" ht="12.75" customHeight="1" s="189"/>
    <row r="775" ht="12.75" customHeight="1" s="189"/>
    <row r="776" ht="12.75" customHeight="1" s="189"/>
    <row r="777" ht="12.75" customHeight="1" s="189"/>
    <row r="778" ht="12.75" customHeight="1" s="189"/>
    <row r="779" ht="12.75" customHeight="1" s="189"/>
    <row r="780" ht="12.75" customHeight="1" s="189"/>
    <row r="781" ht="12.75" customHeight="1" s="189"/>
    <row r="782" ht="12.75" customHeight="1" s="189"/>
    <row r="783" ht="12.75" customHeight="1" s="189"/>
    <row r="784" ht="12.75" customHeight="1" s="189"/>
    <row r="785" ht="12.75" customHeight="1" s="189"/>
    <row r="786" ht="12.75" customHeight="1" s="189"/>
    <row r="787" ht="12.75" customHeight="1" s="189"/>
    <row r="788" ht="12.75" customHeight="1" s="189"/>
    <row r="789" ht="12.75" customHeight="1" s="189"/>
    <row r="790" ht="12.75" customHeight="1" s="189"/>
    <row r="791" ht="12.75" customHeight="1" s="189"/>
    <row r="792" ht="12.75" customHeight="1" s="189"/>
    <row r="793" ht="12.75" customHeight="1" s="189"/>
    <row r="794" ht="12.75" customHeight="1" s="189"/>
    <row r="795" ht="12.75" customHeight="1" s="189"/>
    <row r="796" ht="12.75" customHeight="1" s="189"/>
    <row r="797" ht="12.75" customHeight="1" s="189"/>
    <row r="798" ht="12.75" customHeight="1" s="189"/>
    <row r="799" ht="12.75" customHeight="1" s="189"/>
    <row r="800" ht="12.75" customHeight="1" s="189"/>
    <row r="801" ht="12.75" customHeight="1" s="189"/>
    <row r="802" ht="12.75" customHeight="1" s="189"/>
    <row r="803" ht="12.75" customHeight="1" s="189"/>
    <row r="804" ht="12.75" customHeight="1" s="189"/>
    <row r="805" ht="12.75" customHeight="1" s="189"/>
    <row r="806" ht="12.75" customHeight="1" s="189"/>
    <row r="807" ht="12.75" customHeight="1" s="189"/>
    <row r="808" ht="12.75" customHeight="1" s="189"/>
    <row r="809" ht="12.75" customHeight="1" s="189"/>
    <row r="810" ht="12.75" customHeight="1" s="189"/>
    <row r="811" ht="12.75" customHeight="1" s="189"/>
    <row r="812" ht="12.75" customHeight="1" s="189"/>
    <row r="813" ht="12.75" customHeight="1" s="189"/>
    <row r="814" ht="12.75" customHeight="1" s="189"/>
    <row r="815" ht="12.75" customHeight="1" s="189"/>
    <row r="816" ht="12.75" customHeight="1" s="189"/>
    <row r="817" ht="12.75" customHeight="1" s="189"/>
    <row r="818" ht="12.75" customHeight="1" s="189"/>
    <row r="819" ht="12.75" customHeight="1" s="189"/>
    <row r="820" ht="12.75" customHeight="1" s="189"/>
    <row r="821" ht="12.75" customHeight="1" s="189"/>
    <row r="822" ht="12.75" customHeight="1" s="189"/>
    <row r="823" ht="12.75" customHeight="1" s="189"/>
    <row r="824" ht="12.75" customHeight="1" s="189"/>
    <row r="825" ht="12.75" customHeight="1" s="189"/>
    <row r="826" ht="12.75" customHeight="1" s="189"/>
    <row r="827" ht="12.75" customHeight="1" s="189"/>
    <row r="828" ht="12.75" customHeight="1" s="189"/>
    <row r="829" ht="12.75" customHeight="1" s="189"/>
    <row r="830" ht="12.75" customHeight="1" s="189"/>
    <row r="831" ht="12.75" customHeight="1" s="189"/>
    <row r="832" ht="12.75" customHeight="1" s="189"/>
    <row r="833" ht="12.75" customHeight="1" s="189"/>
    <row r="834" ht="12.75" customHeight="1" s="189"/>
    <row r="835" ht="12.75" customHeight="1" s="189"/>
    <row r="836" ht="12.75" customHeight="1" s="189"/>
    <row r="837" ht="12.75" customHeight="1" s="189"/>
    <row r="838" ht="12.75" customHeight="1" s="189"/>
    <row r="839" ht="12.75" customHeight="1" s="189"/>
    <row r="840" ht="12.75" customHeight="1" s="189"/>
    <row r="841" ht="12.75" customHeight="1" s="189"/>
    <row r="842" ht="12.75" customHeight="1" s="189"/>
    <row r="843" ht="12.75" customHeight="1" s="189"/>
    <row r="844" ht="12.75" customHeight="1" s="189"/>
    <row r="845" ht="12.75" customHeight="1" s="189"/>
    <row r="846" ht="12.75" customHeight="1" s="189"/>
    <row r="847" ht="12.75" customHeight="1" s="189"/>
    <row r="848" ht="12.75" customHeight="1" s="189"/>
    <row r="849" ht="12.75" customHeight="1" s="189"/>
    <row r="850" ht="12.75" customHeight="1" s="189"/>
    <row r="851" ht="12.75" customHeight="1" s="189"/>
    <row r="852" ht="12.75" customHeight="1" s="189"/>
    <row r="853" ht="12.75" customHeight="1" s="189"/>
    <row r="854" ht="12.75" customHeight="1" s="189"/>
    <row r="855" ht="12.75" customHeight="1" s="189"/>
    <row r="856" ht="12.75" customHeight="1" s="189"/>
    <row r="857" ht="12.75" customHeight="1" s="189"/>
    <row r="858" ht="12.75" customHeight="1" s="189"/>
    <row r="859" ht="12.75" customHeight="1" s="189"/>
    <row r="860" ht="12.75" customHeight="1" s="189"/>
    <row r="861" ht="12.75" customHeight="1" s="189"/>
    <row r="862" ht="12.75" customHeight="1" s="189"/>
    <row r="863" ht="12.75" customHeight="1" s="189"/>
    <row r="864" ht="12.75" customHeight="1" s="189"/>
    <row r="865" ht="12.75" customHeight="1" s="189"/>
    <row r="866" ht="12.75" customHeight="1" s="189"/>
    <row r="867" ht="12.75" customHeight="1" s="189"/>
    <row r="868" ht="12.75" customHeight="1" s="189"/>
    <row r="869" ht="12.75" customHeight="1" s="189"/>
    <row r="870" ht="12.75" customHeight="1" s="189"/>
    <row r="871" ht="12.75" customHeight="1" s="189"/>
    <row r="872" ht="12.75" customHeight="1" s="189"/>
    <row r="873" ht="12.75" customHeight="1" s="189"/>
    <row r="874" ht="12.75" customHeight="1" s="189"/>
    <row r="875" ht="12.75" customHeight="1" s="189"/>
    <row r="876" ht="12.75" customHeight="1" s="189"/>
    <row r="877" ht="12.75" customHeight="1" s="189"/>
    <row r="878" ht="12.75" customHeight="1" s="189"/>
    <row r="879" ht="12.75" customHeight="1" s="189"/>
    <row r="880" ht="12.75" customHeight="1" s="189"/>
    <row r="881" ht="12.75" customHeight="1" s="189"/>
    <row r="882" ht="12.75" customHeight="1" s="189"/>
    <row r="883" ht="12.75" customHeight="1" s="189"/>
    <row r="884" ht="12.75" customHeight="1" s="189"/>
    <row r="885" ht="12.75" customHeight="1" s="189"/>
    <row r="886" ht="12.75" customHeight="1" s="189"/>
    <row r="887" ht="12.75" customHeight="1" s="189"/>
    <row r="888" ht="12.75" customHeight="1" s="189"/>
    <row r="889" ht="12.75" customHeight="1" s="189"/>
    <row r="890" ht="12.75" customHeight="1" s="189"/>
    <row r="891" ht="12.75" customHeight="1" s="189"/>
    <row r="892" ht="12.75" customHeight="1" s="189"/>
    <row r="893" ht="12.75" customHeight="1" s="189"/>
    <row r="894" ht="12.75" customHeight="1" s="189"/>
    <row r="895" ht="12.75" customHeight="1" s="189"/>
    <row r="896" ht="12.75" customHeight="1" s="189"/>
    <row r="897" ht="12.75" customHeight="1" s="189"/>
    <row r="898" ht="12.75" customHeight="1" s="189"/>
    <row r="899" ht="12.75" customHeight="1" s="189"/>
    <row r="900" ht="12.75" customHeight="1" s="189"/>
    <row r="901" ht="12.75" customHeight="1" s="189"/>
    <row r="902" ht="12.75" customHeight="1" s="189"/>
    <row r="903" ht="12.75" customHeight="1" s="189"/>
    <row r="904" ht="12.75" customHeight="1" s="189"/>
    <row r="905" ht="12.75" customHeight="1" s="189"/>
    <row r="906" ht="12.75" customHeight="1" s="189"/>
    <row r="907" ht="12.75" customHeight="1" s="189"/>
    <row r="908" ht="12.75" customHeight="1" s="189"/>
    <row r="909" ht="12.75" customHeight="1" s="189"/>
    <row r="910" ht="12.75" customHeight="1" s="189"/>
    <row r="911" ht="12.75" customHeight="1" s="189"/>
    <row r="912" ht="12.75" customHeight="1" s="189"/>
    <row r="913" ht="12.75" customHeight="1" s="189"/>
    <row r="914" ht="12.75" customHeight="1" s="189"/>
    <row r="915" ht="12.75" customHeight="1" s="189"/>
    <row r="916" ht="12.75" customHeight="1" s="189"/>
    <row r="917" ht="12.75" customHeight="1" s="189"/>
    <row r="918" ht="12.75" customHeight="1" s="189"/>
    <row r="919" ht="12.75" customHeight="1" s="189"/>
    <row r="920" ht="12.75" customHeight="1" s="189"/>
    <row r="921" ht="12.75" customHeight="1" s="189"/>
    <row r="922" ht="12.75" customHeight="1" s="189"/>
    <row r="923" ht="12.75" customHeight="1" s="189"/>
    <row r="924" ht="12.75" customHeight="1" s="189"/>
    <row r="925" ht="12.75" customHeight="1" s="189"/>
    <row r="926" ht="12.75" customHeight="1" s="189"/>
    <row r="927" ht="12.75" customHeight="1" s="189"/>
    <row r="928" ht="12.75" customHeight="1" s="189"/>
    <row r="929" ht="12.75" customHeight="1" s="189"/>
    <row r="930" ht="12.75" customHeight="1" s="189"/>
    <row r="931" ht="12.75" customHeight="1" s="189"/>
    <row r="932" ht="12.75" customHeight="1" s="189"/>
    <row r="933" ht="12.75" customHeight="1" s="189"/>
    <row r="934" ht="12.75" customHeight="1" s="189"/>
    <row r="935" ht="12.75" customHeight="1" s="189"/>
    <row r="936" ht="12.75" customHeight="1" s="189"/>
    <row r="937" ht="12.75" customHeight="1" s="189"/>
    <row r="938" ht="12.75" customHeight="1" s="189"/>
    <row r="939" ht="12.75" customHeight="1" s="189"/>
    <row r="940" ht="12.75" customHeight="1" s="189"/>
    <row r="941" ht="12.75" customHeight="1" s="189"/>
    <row r="942" ht="12.75" customHeight="1" s="189"/>
    <row r="943" ht="12.75" customHeight="1" s="189"/>
    <row r="944" ht="12.75" customHeight="1" s="189"/>
    <row r="945" ht="12.75" customHeight="1" s="189"/>
    <row r="946" ht="12.75" customHeight="1" s="189"/>
    <row r="947" ht="12.75" customHeight="1" s="189"/>
    <row r="948" ht="12.75" customHeight="1" s="189"/>
    <row r="949" ht="12.75" customHeight="1" s="189"/>
    <row r="950" ht="12.75" customHeight="1" s="189"/>
    <row r="951" ht="12.75" customHeight="1" s="189"/>
    <row r="952" ht="12.75" customHeight="1" s="189"/>
    <row r="953" ht="12.75" customHeight="1" s="189"/>
    <row r="954" ht="12.75" customHeight="1" s="189"/>
    <row r="955" ht="12.75" customHeight="1" s="189"/>
    <row r="956" ht="12.75" customHeight="1" s="189"/>
    <row r="957" ht="12.75" customHeight="1" s="189"/>
    <row r="958" ht="12.75" customHeight="1" s="189"/>
    <row r="959" ht="12.75" customHeight="1" s="189"/>
    <row r="960" ht="12.75" customHeight="1" s="189"/>
    <row r="961" ht="12.75" customHeight="1" s="189"/>
    <row r="962" ht="12.75" customHeight="1" s="189"/>
    <row r="963" ht="12.75" customHeight="1" s="189"/>
    <row r="964" ht="12.75" customHeight="1" s="189"/>
    <row r="965" ht="12.75" customHeight="1" s="189"/>
    <row r="966" ht="12.75" customHeight="1" s="189"/>
    <row r="967" ht="12.75" customHeight="1" s="189"/>
    <row r="968" ht="12.75" customHeight="1" s="189"/>
    <row r="969" ht="12.75" customHeight="1" s="189"/>
    <row r="970" ht="12.75" customHeight="1" s="189"/>
    <row r="971" ht="12.75" customHeight="1" s="189"/>
    <row r="972" ht="12.75" customHeight="1" s="189"/>
    <row r="973" ht="12.75" customHeight="1" s="189"/>
    <row r="974" ht="12.75" customHeight="1" s="189"/>
    <row r="975" ht="12.75" customHeight="1" s="189"/>
    <row r="976" ht="12.75" customHeight="1" s="189"/>
    <row r="977" ht="12.75" customHeight="1" s="189"/>
    <row r="978" ht="12.75" customHeight="1" s="189"/>
    <row r="979" ht="12.75" customHeight="1" s="189"/>
    <row r="980" ht="12.75" customHeight="1" s="189"/>
    <row r="981" ht="12.75" customHeight="1" s="189"/>
    <row r="982" ht="12.75" customHeight="1" s="189"/>
    <row r="983" ht="12.75" customHeight="1" s="189"/>
    <row r="984" ht="12.75" customHeight="1" s="189"/>
    <row r="985" ht="12.75" customHeight="1" s="189"/>
    <row r="986" ht="12.75" customHeight="1" s="189"/>
    <row r="987" ht="12.75" customHeight="1" s="189"/>
    <row r="988" ht="12.75" customHeight="1" s="189"/>
    <row r="989" ht="12.75" customHeight="1" s="189"/>
    <row r="990" ht="12.75" customHeight="1" s="189"/>
    <row r="991" ht="12.75" customHeight="1" s="189"/>
    <row r="992" ht="12.75" customHeight="1" s="189"/>
    <row r="993" ht="12.75" customHeight="1" s="189"/>
    <row r="994" ht="12.75" customHeight="1" s="189"/>
    <row r="995" ht="12.75" customHeight="1" s="189"/>
    <row r="996" ht="12.75" customHeight="1" s="189"/>
    <row r="997" ht="12.75" customHeight="1" s="189"/>
    <row r="998" ht="12.75" customHeight="1" s="189"/>
    <row r="999" ht="12.75" customHeight="1" s="189"/>
    <row r="1000" ht="12.75" customHeight="1" s="189"/>
  </sheetData>
  <mergeCells count="15">
    <mergeCell ref="B22:H22"/>
    <mergeCell ref="B32:H32"/>
    <mergeCell ref="B28:H28"/>
    <mergeCell ref="B26:H26"/>
    <mergeCell ref="B18:H18"/>
    <mergeCell ref="B27:H27"/>
    <mergeCell ref="B21:H21"/>
    <mergeCell ref="B30:H30"/>
    <mergeCell ref="B24:H24"/>
    <mergeCell ref="B29:H29"/>
    <mergeCell ref="B25:H25"/>
    <mergeCell ref="B19:H19"/>
    <mergeCell ref="B20:H20"/>
    <mergeCell ref="B31:H31"/>
    <mergeCell ref="B23:H2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2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5" customWidth="1" style="189" min="1" max="1"/>
    <col width="41.5" customWidth="1" style="189" min="2" max="2"/>
    <col width="8" customWidth="1" style="189" min="3" max="3"/>
    <col width="28" customWidth="1" style="189" min="4" max="4"/>
    <col width="10" customWidth="1" style="189" min="5" max="5"/>
    <col width="11" customWidth="1" style="189" min="6" max="7"/>
    <col width="7" customWidth="1" style="189" min="8" max="8"/>
    <col width="8" customWidth="1" style="189" min="9" max="10"/>
    <col width="7" customWidth="1" style="189" min="11" max="11"/>
    <col width="9" customWidth="1" style="189" min="12" max="12"/>
    <col width="12" customWidth="1" style="189" min="13" max="13"/>
    <col width="4.25" customWidth="1" style="189" min="14" max="36"/>
  </cols>
  <sheetData>
    <row r="1" ht="17.25" customHeight="1" s="189">
      <c r="B1" s="145" t="inlineStr">
        <is>
          <t>Cronograma do Projeto Arena Local</t>
        </is>
      </c>
    </row>
    <row r="2" ht="15" customHeight="1" s="189">
      <c r="B2" s="144" t="n"/>
    </row>
    <row r="3" ht="18" customHeight="1" s="189">
      <c r="B3" s="156" t="inlineStr">
        <is>
          <t>Legenda de status (coluna M e barras do Gantt):</t>
        </is>
      </c>
      <c r="D3" s="157" t="inlineStr">
        <is>
          <t>Verde = Pronto</t>
        </is>
      </c>
      <c r="E3" s="230" t="inlineStr">
        <is>
          <t>Amarelo = Planejado</t>
        </is>
      </c>
      <c r="F3" s="216" t="n"/>
      <c r="G3" s="217" t="n"/>
      <c r="H3" s="231" t="inlineStr">
        <is>
          <t>Vermelho = Atrasado</t>
        </is>
      </c>
      <c r="I3" s="216" t="n"/>
      <c r="J3" s="216" t="n"/>
      <c r="K3" s="216" t="n"/>
      <c r="L3" s="217" t="n"/>
    </row>
    <row r="4" ht="15" customHeight="1" s="189">
      <c r="M4" s="160" t="inlineStr">
        <is>
          <t>Marco</t>
        </is>
      </c>
      <c r="N4" s="161">
        <f t="array" ref="N4">IF(COUNTIF(Releases!$D$6:$D$10,N5)=0,"",IF(COUNTIF(Releases!$D$6:$D$10,N5)=1,INDEX(Releases!$A$6:$A$10,MATCH(N5,Releases!$D$6:$D$10,0)),INDEX(Releases!$A$6:$A$10,MATCH(N5,Releases!$D$6:$D$10,0))&amp;"-"&amp;RIGHT(INDEX(Releases!$A$6:$A$10,MATCH(N5,Releases!$D$6:$D$10,0)+COUNTIF(Releases!$D$6:$D$10,N5)-1),2)))</f>
        <v/>
      </c>
      <c r="O4" s="161">
        <f t="array" ref="O4">IF(COUNTIF(Releases!$D$6:$D$10,O5)=0,"",IF(COUNTIF(Releases!$D$6:$D$10,O5)=1,INDEX(Releases!$A$6:$A$10,MATCH(O5,Releases!$D$6:$D$10,0)),INDEX(Releases!$A$6:$A$10,MATCH(O5,Releases!$D$6:$D$10,0))&amp;"-"&amp;RIGHT(INDEX(Releases!$A$6:$A$10,MATCH(O5,Releases!$D$6:$D$10,0)+COUNTIF(Releases!$D$6:$D$10,O5)-1),2)))</f>
        <v/>
      </c>
      <c r="P4" s="161">
        <f t="array" ref="P4">IF(COUNTIF(Releases!$D$6:$D$10,P5)=0,"",IF(COUNTIF(Releases!$D$6:$D$10,P5)=1,INDEX(Releases!$A$6:$A$10,MATCH(P5,Releases!$D$6:$D$10,0)),INDEX(Releases!$A$6:$A$10,MATCH(P5,Releases!$D$6:$D$10,0))&amp;"-"&amp;RIGHT(INDEX(Releases!$A$6:$A$10,MATCH(P5,Releases!$D$6:$D$10,0)+COUNTIF(Releases!$D$6:$D$10,P5)-1),2)))</f>
        <v/>
      </c>
      <c r="Q4" s="161">
        <f t="array" ref="Q4">IF(COUNTIF(Releases!$D$6:$D$10,Q5)=0,"",IF(COUNTIF(Releases!$D$6:$D$10,Q5)=1,INDEX(Releases!$A$6:$A$10,MATCH(Q5,Releases!$D$6:$D$10,0)),INDEX(Releases!$A$6:$A$10,MATCH(Q5,Releases!$D$6:$D$10,0))&amp;"-"&amp;RIGHT(INDEX(Releases!$A$6:$A$10,MATCH(Q5,Releases!$D$6:$D$10,0)+COUNTIF(Releases!$D$6:$D$10,Q5)-1),2)))</f>
        <v/>
      </c>
      <c r="R4" s="161">
        <f t="array" ref="R4">IF(COUNTIF(Releases!$D$6:$D$10,R5)=0,"",IF(COUNTIF(Releases!$D$6:$D$10,R5)=1,INDEX(Releases!$A$6:$A$10,MATCH(R5,Releases!$D$6:$D$10,0)),INDEX(Releases!$A$6:$A$10,MATCH(R5,Releases!$D$6:$D$10,0))&amp;"-"&amp;RIGHT(INDEX(Releases!$A$6:$A$10,MATCH(R5,Releases!$D$6:$D$10,0)+COUNTIF(Releases!$D$6:$D$10,R5)-1),2)))</f>
        <v/>
      </c>
      <c r="S4" s="161">
        <f t="array" ref="S4">IF(COUNTIF(Releases!$D$6:$D$10,S5)=0,"",IF(COUNTIF(Releases!$D$6:$D$10,S5)=1,INDEX(Releases!$A$6:$A$10,MATCH(S5,Releases!$D$6:$D$10,0)),INDEX(Releases!$A$6:$A$10,MATCH(S5,Releases!$D$6:$D$10,0))&amp;"-"&amp;RIGHT(INDEX(Releases!$A$6:$A$10,MATCH(S5,Releases!$D$6:$D$10,0)+COUNTIF(Releases!$D$6:$D$10,S5)-1),2)))</f>
        <v/>
      </c>
      <c r="T4" s="161">
        <f t="array" ref="T4">IF(COUNTIF(Releases!$D$6:$D$10,T5)=0,"",IF(COUNTIF(Releases!$D$6:$D$10,T5)=1,INDEX(Releases!$A$6:$A$10,MATCH(T5,Releases!$D$6:$D$10,0)),INDEX(Releases!$A$6:$A$10,MATCH(T5,Releases!$D$6:$D$10,0))&amp;"-"&amp;RIGHT(INDEX(Releases!$A$6:$A$10,MATCH(T5,Releases!$D$6:$D$10,0)+COUNTIF(Releases!$D$6:$D$10,T5)-1),2)))</f>
        <v/>
      </c>
      <c r="U4" s="161">
        <f t="array" ref="U4">IF(COUNTIF(Releases!$D$6:$D$10,U5)=0,"",IF(COUNTIF(Releases!$D$6:$D$10,U5)=1,INDEX(Releases!$A$6:$A$10,MATCH(U5,Releases!$D$6:$D$10,0)),INDEX(Releases!$A$6:$A$10,MATCH(U5,Releases!$D$6:$D$10,0))&amp;"-"&amp;RIGHT(INDEX(Releases!$A$6:$A$10,MATCH(U5,Releases!$D$6:$D$10,0)+COUNTIF(Releases!$D$6:$D$10,U5)-1),2)))</f>
        <v/>
      </c>
      <c r="V4" s="161">
        <f t="array" ref="V4">IF(COUNTIF(Releases!$D$6:$D$10,V5)=0,"",IF(COUNTIF(Releases!$D$6:$D$10,V5)=1,INDEX(Releases!$A$6:$A$10,MATCH(V5,Releases!$D$6:$D$10,0)),INDEX(Releases!$A$6:$A$10,MATCH(V5,Releases!$D$6:$D$10,0))&amp;"-"&amp;RIGHT(INDEX(Releases!$A$6:$A$10,MATCH(V5,Releases!$D$6:$D$10,0)+COUNTIF(Releases!$D$6:$D$10,V5)-1),2)))</f>
        <v/>
      </c>
      <c r="W4" s="161">
        <f t="array" ref="W4">IF(COUNTIF(Releases!$D$6:$D$10,W5)=0,"",IF(COUNTIF(Releases!$D$6:$D$10,W5)=1,INDEX(Releases!$A$6:$A$10,MATCH(W5,Releases!$D$6:$D$10,0)),INDEX(Releases!$A$6:$A$10,MATCH(W5,Releases!$D$6:$D$10,0))&amp;"-"&amp;RIGHT(INDEX(Releases!$A$6:$A$10,MATCH(W5,Releases!$D$6:$D$10,0)+COUNTIF(Releases!$D$6:$D$10,W5)-1),2)))</f>
        <v/>
      </c>
      <c r="X4" s="161">
        <f t="array" ref="X4">IF(COUNTIF(Releases!$D$6:$D$10,X5)=0,"",IF(COUNTIF(Releases!$D$6:$D$10,X5)=1,INDEX(Releases!$A$6:$A$10,MATCH(X5,Releases!$D$6:$D$10,0)),INDEX(Releases!$A$6:$A$10,MATCH(X5,Releases!$D$6:$D$10,0))&amp;"-"&amp;RIGHT(INDEX(Releases!$A$6:$A$10,MATCH(X5,Releases!$D$6:$D$10,0)+COUNTIF(Releases!$D$6:$D$10,X5)-1),2)))</f>
        <v/>
      </c>
      <c r="Y4" s="161">
        <f t="array" ref="Y4">IF(COUNTIF(Releases!$D$6:$D$10,Y5)=0,"",IF(COUNTIF(Releases!$D$6:$D$10,Y5)=1,INDEX(Releases!$A$6:$A$10,MATCH(Y5,Releases!$D$6:$D$10,0)),INDEX(Releases!$A$6:$A$10,MATCH(Y5,Releases!$D$6:$D$10,0))&amp;"-"&amp;RIGHT(INDEX(Releases!$A$6:$A$10,MATCH(Y5,Releases!$D$6:$D$10,0)+COUNTIF(Releases!$D$6:$D$10,Y5)-1),2)))</f>
        <v/>
      </c>
      <c r="Z4" s="161">
        <f t="array" ref="Z4">IF(COUNTIF(Releases!$D$6:$D$10,Z5)=0,"",IF(COUNTIF(Releases!$D$6:$D$10,Z5)=1,INDEX(Releases!$A$6:$A$10,MATCH(Z5,Releases!$D$6:$D$10,0)),INDEX(Releases!$A$6:$A$10,MATCH(Z5,Releases!$D$6:$D$10,0))&amp;"-"&amp;RIGHT(INDEX(Releases!$A$6:$A$10,MATCH(Z5,Releases!$D$6:$D$10,0)+COUNTIF(Releases!$D$6:$D$10,Z5)-1),2)))</f>
        <v/>
      </c>
      <c r="AA4" s="161">
        <f t="array" ref="AA4">IF(COUNTIF(Releases!$D$6:$D$10,AA5)=0,"",IF(COUNTIF(Releases!$D$6:$D$10,AA5)=1,INDEX(Releases!$A$6:$A$10,MATCH(AA5,Releases!$D$6:$D$10,0)),INDEX(Releases!$A$6:$A$10,MATCH(AA5,Releases!$D$6:$D$10,0))&amp;"-"&amp;RIGHT(INDEX(Releases!$A$6:$A$10,MATCH(AA5,Releases!$D$6:$D$10,0)+COUNTIF(Releases!$D$6:$D$10,AA5)-1),2)))</f>
        <v/>
      </c>
      <c r="AB4" s="161">
        <f t="array" ref="AB4">IF(COUNTIF(Releases!$D$6:$D$10,AB5)=0,"",IF(COUNTIF(Releases!$D$6:$D$10,AB5)=1,INDEX(Releases!$A$6:$A$10,MATCH(AB5,Releases!$D$6:$D$10,0)),INDEX(Releases!$A$6:$A$10,MATCH(AB5,Releases!$D$6:$D$10,0))&amp;"-"&amp;RIGHT(INDEX(Releases!$A$6:$A$10,MATCH(AB5,Releases!$D$6:$D$10,0)+COUNTIF(Releases!$D$6:$D$10,AB5)-1),2)))</f>
        <v/>
      </c>
      <c r="AC4" s="161">
        <f t="array" ref="AC4">IF(COUNTIF(Releases!$D$6:$D$10,AC5)=0,"",IF(COUNTIF(Releases!$D$6:$D$10,AC5)=1,INDEX(Releases!$A$6:$A$10,MATCH(AC5,Releases!$D$6:$D$10,0)),INDEX(Releases!$A$6:$A$10,MATCH(AC5,Releases!$D$6:$D$10,0))&amp;"-"&amp;RIGHT(INDEX(Releases!$A$6:$A$10,MATCH(AC5,Releases!$D$6:$D$10,0)+COUNTIF(Releases!$D$6:$D$10,AC5)-1),2)))</f>
        <v/>
      </c>
      <c r="AD4" s="161">
        <f t="array" ref="AD4">IF(COUNTIF(Releases!$D$6:$D$10,AD5)=0,"",IF(COUNTIF(Releases!$D$6:$D$10,AD5)=1,INDEX(Releases!$A$6:$A$10,MATCH(AD5,Releases!$D$6:$D$10,0)),INDEX(Releases!$A$6:$A$10,MATCH(AD5,Releases!$D$6:$D$10,0))&amp;"-"&amp;RIGHT(INDEX(Releases!$A$6:$A$10,MATCH(AD5,Releases!$D$6:$D$10,0)+COUNTIF(Releases!$D$6:$D$10,AD5)-1),2)))</f>
        <v/>
      </c>
      <c r="AE4" s="161">
        <f t="array" ref="AE4">IF(COUNTIF(Releases!$D$6:$D$10,AE5)=0,"",IF(COUNTIF(Releases!$D$6:$D$10,AE5)=1,INDEX(Releases!$A$6:$A$10,MATCH(AE5,Releases!$D$6:$D$10,0)),INDEX(Releases!$A$6:$A$10,MATCH(AE5,Releases!$D$6:$D$10,0))&amp;"-"&amp;RIGHT(INDEX(Releases!$A$6:$A$10,MATCH(AE5,Releases!$D$6:$D$10,0)+COUNTIF(Releases!$D$6:$D$10,AE5)-1),2)))</f>
        <v/>
      </c>
      <c r="AF4" s="161">
        <f t="array" ref="AF4">IF(COUNTIF(Releases!$D$6:$D$10,AF5)=0,"",IF(COUNTIF(Releases!$D$6:$D$10,AF5)=1,INDEX(Releases!$A$6:$A$10,MATCH(AF5,Releases!$D$6:$D$10,0)),INDEX(Releases!$A$6:$A$10,MATCH(AF5,Releases!$D$6:$D$10,0))&amp;"-"&amp;RIGHT(INDEX(Releases!$A$6:$A$10,MATCH(AF5,Releases!$D$6:$D$10,0)+COUNTIF(Releases!$D$6:$D$10,AF5)-1),2)))</f>
        <v/>
      </c>
      <c r="AG4" s="161">
        <f t="array" ref="AG4">IF(COUNTIF(Releases!$D$6:$D$10,AG5)=0,"",IF(COUNTIF(Releases!$D$6:$D$10,AG5)=1,INDEX(Releases!$A$6:$A$10,MATCH(AG5,Releases!$D$6:$D$10,0)),INDEX(Releases!$A$6:$A$10,MATCH(AG5,Releases!$D$6:$D$10,0))&amp;"-"&amp;RIGHT(INDEX(Releases!$A$6:$A$10,MATCH(AG5,Releases!$D$6:$D$10,0)+COUNTIF(Releases!$D$6:$D$10,AG5)-1),2)))</f>
        <v/>
      </c>
      <c r="AH4" s="161">
        <f t="array" ref="AH4">IF(COUNTIF(Releases!$D$6:$D$10,AH5)=0,"",IF(COUNTIF(Releases!$D$6:$D$10,AH5)=1,INDEX(Releases!$A$6:$A$10,MATCH(AH5,Releases!$D$6:$D$10,0)),INDEX(Releases!$A$6:$A$10,MATCH(AH5,Releases!$D$6:$D$10,0))&amp;"-"&amp;RIGHT(INDEX(Releases!$A$6:$A$10,MATCH(AH5,Releases!$D$6:$D$10,0)+COUNTIF(Releases!$D$6:$D$10,AH5)-1),2)))</f>
        <v/>
      </c>
      <c r="AI4" s="161">
        <f t="array" ref="AI4">IF(COUNTIF(Releases!$D$6:$D$10,AI5)=0,"",IF(COUNTIF(Releases!$D$6:$D$10,AI5)=1,INDEX(Releases!$A$6:$A$10,MATCH(AI5,Releases!$D$6:$D$10,0)),INDEX(Releases!$A$6:$A$10,MATCH(AI5,Releases!$D$6:$D$10,0))&amp;"-"&amp;RIGHT(INDEX(Releases!$A$6:$A$10,MATCH(AI5,Releases!$D$6:$D$10,0)+COUNTIF(Releases!$D$6:$D$10,AI5)-1),2)))</f>
        <v/>
      </c>
      <c r="AJ4" s="161">
        <f t="array" ref="AJ4">IF(COUNTIF(Releases!$D$6:$D$10,AJ5)=0,"",IF(COUNTIF(Releases!$D$6:$D$10,AJ5)=1,INDEX(Releases!$A$6:$A$10,MATCH(AJ5,Releases!$D$6:$D$10,0)),INDEX(Releases!$A$6:$A$10,MATCH(AJ5,Releases!$D$6:$D$10,0))&amp;"-"&amp;RIGHT(INDEX(Releases!$A$6:$A$10,MATCH(AJ5,Releases!$D$6:$D$10,0)+COUNTIF(Releases!$D$6:$D$10,AJ5)-1),2)))</f>
        <v/>
      </c>
    </row>
    <row r="5" ht="37.5" customHeight="1" s="189">
      <c r="A5" s="162" t="inlineStr">
        <is>
          <t>ID</t>
        </is>
      </c>
      <c r="B5" s="162" t="inlineStr">
        <is>
          <t>Atividade</t>
        </is>
      </c>
      <c r="C5" s="162" t="inlineStr">
        <is>
          <t>Release</t>
        </is>
      </c>
      <c r="D5" s="162" t="inlineStr">
        <is>
          <t>Fase</t>
        </is>
      </c>
      <c r="E5" s="162" t="inlineStr">
        <is>
          <t>Tipo</t>
        </is>
      </c>
      <c r="F5" s="162" t="inlineStr">
        <is>
          <t>Início</t>
        </is>
      </c>
      <c r="G5" s="162" t="inlineStr">
        <is>
          <t>Fim</t>
        </is>
      </c>
      <c r="H5" s="162" t="inlineStr">
        <is>
          <t>Dias úteis</t>
        </is>
      </c>
      <c r="I5" s="162" t="inlineStr">
        <is>
          <t>% da fase</t>
        </is>
      </c>
      <c r="J5" s="162" t="inlineStr">
        <is>
          <t>Horas</t>
        </is>
      </c>
      <c r="K5" s="162" t="inlineStr">
        <is>
          <t>Pts UC</t>
        </is>
      </c>
      <c r="L5" s="162" t="inlineStr">
        <is>
          <t>Pts release (testes)</t>
        </is>
      </c>
      <c r="M5" s="170" t="inlineStr">
        <is>
          <t>Status</t>
        </is>
      </c>
      <c r="N5" s="174">
        <f>WORKDAY(Premissas!$C$7-1,1,Premissas!$B$10:$B$14)</f>
        <v/>
      </c>
      <c r="O5" s="174">
        <f>WORKDAY(N5,1,Premissas!$B$10:$B$14)</f>
        <v/>
      </c>
      <c r="P5" s="174">
        <f>WORKDAY(O5,1,Premissas!$B$10:$B$14)</f>
        <v/>
      </c>
      <c r="Q5" s="174">
        <f>WORKDAY(P5,1,Premissas!$B$10:$B$14)</f>
        <v/>
      </c>
      <c r="R5" s="174">
        <f>WORKDAY(Q5,1,Premissas!$B$10:$B$14)</f>
        <v/>
      </c>
      <c r="S5" s="174">
        <f>WORKDAY(R5,1,Premissas!$B$10:$B$14)</f>
        <v/>
      </c>
      <c r="T5" s="174">
        <f>WORKDAY(S5,1,Premissas!$B$10:$B$14)</f>
        <v/>
      </c>
      <c r="U5" s="174">
        <f>WORKDAY(T5,1,Premissas!$B$10:$B$14)</f>
        <v/>
      </c>
      <c r="V5" s="174">
        <f>WORKDAY(U5,1,Premissas!$B$10:$B$14)</f>
        <v/>
      </c>
      <c r="W5" s="174">
        <f>WORKDAY(V5,1,Premissas!$B$10:$B$14)</f>
        <v/>
      </c>
      <c r="X5" s="174">
        <f>WORKDAY(W5,1,Premissas!$B$10:$B$14)</f>
        <v/>
      </c>
      <c r="Y5" s="174">
        <f>WORKDAY(X5,1,Premissas!$B$10:$B$14)</f>
        <v/>
      </c>
      <c r="Z5" s="174">
        <f>WORKDAY(Y5,1,Premissas!$B$10:$B$14)</f>
        <v/>
      </c>
      <c r="AA5" s="174">
        <f>WORKDAY(Z5,1,Premissas!$B$10:$B$14)</f>
        <v/>
      </c>
      <c r="AB5" s="174">
        <f>WORKDAY(AA5,1,Premissas!$B$10:$B$14)</f>
        <v/>
      </c>
      <c r="AC5" s="174">
        <f>WORKDAY(AB5,1,Premissas!$B$10:$B$14)</f>
        <v/>
      </c>
      <c r="AD5" s="174">
        <f>WORKDAY(AC5,1,Premissas!$B$10:$B$14)</f>
        <v/>
      </c>
      <c r="AE5" s="174">
        <f>WORKDAY(AD5,1,Premissas!$B$10:$B$14)</f>
        <v/>
      </c>
      <c r="AF5" s="174">
        <f>WORKDAY(AE5,1,Premissas!$B$10:$B$14)</f>
        <v/>
      </c>
      <c r="AG5" s="174">
        <f>WORKDAY(AF5,1,Premissas!$B$10:$B$14)</f>
        <v/>
      </c>
      <c r="AH5" s="174">
        <f>WORKDAY(AG5,1,Premissas!$B$10:$B$14)</f>
        <v/>
      </c>
      <c r="AI5" s="174">
        <f>WORKDAY(AH5,1,Premissas!$B$10:$B$14)</f>
        <v/>
      </c>
      <c r="AJ5" s="174">
        <f>WORKDAY(AI5,1,Premissas!$B$10:$B$14)</f>
        <v/>
      </c>
    </row>
    <row r="6" ht="15" customHeight="1" s="189">
      <c r="A6" s="179" t="inlineStr">
        <is>
          <t>Release 00 - Documentação (18/10 a 20/10)</t>
        </is>
      </c>
      <c r="B6" s="180" t="n"/>
      <c r="C6" s="180" t="n"/>
      <c r="D6" s="180" t="n"/>
      <c r="E6" s="180" t="n"/>
      <c r="F6" s="180" t="n"/>
      <c r="G6" s="180" t="n"/>
      <c r="H6" s="180" t="n"/>
      <c r="I6" s="180" t="n"/>
      <c r="J6" s="180" t="n"/>
      <c r="K6" s="180" t="n"/>
      <c r="L6" s="180" t="n"/>
      <c r="M6" s="181" t="n"/>
      <c r="N6" s="180" t="n"/>
      <c r="O6" s="180" t="n"/>
      <c r="P6" s="180" t="n"/>
      <c r="Q6" s="180" t="n"/>
      <c r="R6" s="180" t="n"/>
      <c r="S6" s="180" t="n"/>
      <c r="T6" s="180" t="n"/>
      <c r="U6" s="180" t="n"/>
      <c r="V6" s="180" t="n"/>
      <c r="W6" s="180" t="n"/>
      <c r="X6" s="180" t="n"/>
      <c r="Y6" s="180" t="n"/>
      <c r="Z6" s="180" t="n"/>
      <c r="AA6" s="180" t="n"/>
      <c r="AB6" s="180" t="n"/>
      <c r="AC6" s="180" t="n"/>
      <c r="AD6" s="180" t="n"/>
      <c r="AE6" s="180" t="n"/>
      <c r="AF6" s="180" t="n"/>
      <c r="AG6" s="180" t="n"/>
      <c r="AH6" s="180" t="n"/>
      <c r="AI6" s="180" t="n"/>
      <c r="AJ6" s="180" t="n"/>
    </row>
    <row r="7" ht="15" customHeight="1" s="189">
      <c r="A7" s="178" t="n">
        <v>1</v>
      </c>
      <c r="B7" s="188" t="inlineStr">
        <is>
          <t>Levantamento de escopo, visão e partes interessadas</t>
        </is>
      </c>
      <c r="C7" s="178" t="inlineStr">
        <is>
          <t>R00</t>
        </is>
      </c>
      <c r="D7" s="178" t="inlineStr">
        <is>
          <t>Fase de Prospecção</t>
        </is>
      </c>
      <c r="E7" s="178" t="inlineStr">
        <is>
          <t>Documento</t>
        </is>
      </c>
      <c r="F7" s="183" t="n">
        <v>46313</v>
      </c>
      <c r="G7" s="183" t="n">
        <v>46314</v>
      </c>
      <c r="H7" s="178">
        <f>NETWORKDAYS(F7,G7,Premissas!$B$10:$B$14)</f>
        <v/>
      </c>
      <c r="I7" s="184" t="n">
        <v>0.6</v>
      </c>
      <c r="J7" s="176">
        <f t="array" ref="J7">INDEX(Geral!$J$13:$J$20,MATCH(D7,Geral!$G$13:$G$20,0))*I7</f>
        <v/>
      </c>
      <c r="K7" s="178" t="n"/>
      <c r="L7" s="178" t="n"/>
      <c r="M7" s="185" t="inlineStr">
        <is>
          <t>Pronto</t>
        </is>
      </c>
      <c r="N7" s="186" t="n"/>
    </row>
    <row r="8" ht="15" customHeight="1" s="189">
      <c r="A8" s="178" t="n">
        <v>2</v>
      </c>
      <c r="B8" s="188" t="inlineStr">
        <is>
          <t>Identificação inicial de atores e funcionalidades</t>
        </is>
      </c>
      <c r="C8" s="178" t="inlineStr">
        <is>
          <t>R00</t>
        </is>
      </c>
      <c r="D8" s="178" t="inlineStr">
        <is>
          <t>Fase de Prospecção</t>
        </is>
      </c>
      <c r="E8" s="178" t="inlineStr">
        <is>
          <t>Documento</t>
        </is>
      </c>
      <c r="F8" s="183" t="n">
        <v>46313</v>
      </c>
      <c r="G8" s="183" t="n">
        <v>46314</v>
      </c>
      <c r="H8" s="178">
        <f>NETWORKDAYS(F8,G8,Premissas!$B$10:$B$14)</f>
        <v/>
      </c>
      <c r="I8" s="184" t="n">
        <v>0.4</v>
      </c>
      <c r="J8" s="176">
        <f t="array" ref="J8">INDEX(Geral!$J$13:$J$20,MATCH(D8,Geral!$G$13:$G$20,0))*I8</f>
        <v/>
      </c>
      <c r="K8" s="178" t="n"/>
      <c r="L8" s="178" t="n"/>
      <c r="M8" s="185" t="inlineStr">
        <is>
          <t>Pronto</t>
        </is>
      </c>
      <c r="N8" s="186" t="n"/>
    </row>
    <row r="9" ht="15" customHeight="1" s="189">
      <c r="A9" s="178" t="n">
        <v>3</v>
      </c>
      <c r="B9" s="188" t="inlineStr">
        <is>
          <t>Elaborar DRE (requisitos funcionais RFC/RFS)</t>
        </is>
      </c>
      <c r="C9" s="178" t="inlineStr">
        <is>
          <t>R00</t>
        </is>
      </c>
      <c r="D9" s="178" t="inlineStr">
        <is>
          <t>Fase de Análise</t>
        </is>
      </c>
      <c r="E9" s="178" t="inlineStr">
        <is>
          <t>Documento</t>
        </is>
      </c>
      <c r="F9" s="183" t="n">
        <v>46313</v>
      </c>
      <c r="G9" s="183" t="n">
        <v>46315</v>
      </c>
      <c r="H9" s="178">
        <f>NETWORKDAYS(F9,G9,Premissas!$B$10:$B$14)</f>
        <v/>
      </c>
      <c r="I9" s="184" t="n">
        <v>0.45</v>
      </c>
      <c r="J9" s="176">
        <f t="array" ref="J9">INDEX(Geral!$J$13:$J$20,MATCH(D9,Geral!$G$13:$G$20,0))*I9</f>
        <v/>
      </c>
      <c r="K9" s="178" t="n"/>
      <c r="L9" s="178" t="n"/>
      <c r="M9" s="185" t="inlineStr">
        <is>
          <t>Pronto</t>
        </is>
      </c>
      <c r="N9" s="186" t="n"/>
      <c r="O9" s="186" t="n"/>
    </row>
    <row r="10" ht="15" customHeight="1" s="189">
      <c r="A10" s="178" t="n">
        <v>4</v>
      </c>
      <c r="B10" s="188" t="inlineStr">
        <is>
          <t>Matriz de Rastreabilidade Bidirecional</t>
        </is>
      </c>
      <c r="C10" s="178" t="inlineStr">
        <is>
          <t>R00</t>
        </is>
      </c>
      <c r="D10" s="178" t="inlineStr">
        <is>
          <t>Fase de Análise</t>
        </is>
      </c>
      <c r="E10" s="178" t="inlineStr">
        <is>
          <t>Documento</t>
        </is>
      </c>
      <c r="F10" s="183" t="n">
        <v>46315</v>
      </c>
      <c r="G10" s="183" t="n">
        <v>46315</v>
      </c>
      <c r="H10" s="178">
        <f>NETWORKDAYS(F10,G10,Premissas!$B$10:$B$14)</f>
        <v/>
      </c>
      <c r="I10" s="184" t="n">
        <v>0.15</v>
      </c>
      <c r="J10" s="176">
        <f t="array" ref="J10">INDEX(Geral!$J$13:$J$20,MATCH(D10,Geral!$G$13:$G$20,0))*I10</f>
        <v/>
      </c>
      <c r="K10" s="178" t="n"/>
      <c r="L10" s="178" t="n"/>
      <c r="M10" s="185" t="inlineStr">
        <is>
          <t>Pronto</t>
        </is>
      </c>
      <c r="O10" s="186" t="n"/>
    </row>
    <row r="11" ht="15" customHeight="1" s="189">
      <c r="A11" s="178" t="n">
        <v>5</v>
      </c>
      <c r="B11" s="188" t="inlineStr">
        <is>
          <t>Estimativa definitiva de tamanho (PCU)</t>
        </is>
      </c>
      <c r="C11" s="178" t="inlineStr">
        <is>
          <t>R00</t>
        </is>
      </c>
      <c r="D11" s="178" t="inlineStr">
        <is>
          <t>Fase de Planejamento</t>
        </is>
      </c>
      <c r="E11" s="178" t="inlineStr">
        <is>
          <t>Documento</t>
        </is>
      </c>
      <c r="F11" s="183" t="n">
        <v>46313</v>
      </c>
      <c r="G11" s="183" t="n">
        <v>46314</v>
      </c>
      <c r="H11" s="178">
        <f>NETWORKDAYS(F11,G11,Premissas!$B$10:$B$14)</f>
        <v/>
      </c>
      <c r="I11" s="184" t="n">
        <v>0.15</v>
      </c>
      <c r="J11" s="176">
        <f t="array" ref="J11">INDEX(Geral!$J$13:$J$20,MATCH(D11,Geral!$G$13:$G$20,0))*I11</f>
        <v/>
      </c>
      <c r="K11" s="178" t="n"/>
      <c r="L11" s="178" t="n"/>
      <c r="M11" s="185" t="inlineStr">
        <is>
          <t>Pronto</t>
        </is>
      </c>
      <c r="N11" s="186" t="n"/>
    </row>
    <row r="12" ht="15" customHeight="1" s="189">
      <c r="A12" s="178" t="n">
        <v>6</v>
      </c>
      <c r="B12" s="188" t="inlineStr">
        <is>
          <t>Cronograma do projeto</t>
        </is>
      </c>
      <c r="C12" s="178" t="inlineStr">
        <is>
          <t>R00</t>
        </is>
      </c>
      <c r="D12" s="178" t="inlineStr">
        <is>
          <t>Fase de Planejamento</t>
        </is>
      </c>
      <c r="E12" s="178" t="inlineStr">
        <is>
          <t>Documento</t>
        </is>
      </c>
      <c r="F12" s="183" t="n">
        <v>46314</v>
      </c>
      <c r="G12" s="183" t="n">
        <v>46315</v>
      </c>
      <c r="H12" s="178">
        <f>NETWORKDAYS(F12,G12,Premissas!$B$10:$B$14)</f>
        <v/>
      </c>
      <c r="I12" s="184" t="n">
        <v>0.2</v>
      </c>
      <c r="J12" s="176">
        <f t="array" ref="J12">INDEX(Geral!$J$13:$J$20,MATCH(D12,Geral!$G$13:$G$20,0))*I12</f>
        <v/>
      </c>
      <c r="K12" s="178" t="n"/>
      <c r="L12" s="178" t="n"/>
      <c r="M12" s="185" t="inlineStr">
        <is>
          <t>Pronto</t>
        </is>
      </c>
      <c r="N12" s="186" t="n"/>
      <c r="O12" s="186" t="n"/>
    </row>
    <row r="13" ht="15" customHeight="1" s="189">
      <c r="A13" s="178" t="n">
        <v>7</v>
      </c>
      <c r="B13" s="188" t="inlineStr">
        <is>
          <t>Plano de projeto</t>
        </is>
      </c>
      <c r="C13" s="178" t="inlineStr">
        <is>
          <t>R00</t>
        </is>
      </c>
      <c r="D13" s="178" t="inlineStr">
        <is>
          <t>Fase de Planejamento</t>
        </is>
      </c>
      <c r="E13" s="178" t="inlineStr">
        <is>
          <t>Documento</t>
        </is>
      </c>
      <c r="F13" s="183" t="n">
        <v>46314</v>
      </c>
      <c r="G13" s="183" t="n">
        <v>46315</v>
      </c>
      <c r="H13" s="178">
        <f>NETWORKDAYS(F13,G13,Premissas!$B$10:$B$14)</f>
        <v/>
      </c>
      <c r="I13" s="184" t="n">
        <v>0.35</v>
      </c>
      <c r="J13" s="176">
        <f t="array" ref="J13">INDEX(Geral!$J$13:$J$20,MATCH(D13,Geral!$G$13:$G$20,0))*I13</f>
        <v/>
      </c>
      <c r="K13" s="178" t="n"/>
      <c r="L13" s="178" t="n"/>
      <c r="M13" s="185" t="inlineStr">
        <is>
          <t>Pronto</t>
        </is>
      </c>
      <c r="N13" s="186" t="n"/>
      <c r="O13" s="186" t="n"/>
    </row>
    <row r="14" ht="15" customHeight="1" s="189">
      <c r="A14" s="178" t="n">
        <v>8</v>
      </c>
      <c r="B14" s="188" t="inlineStr">
        <is>
          <t>Definir rotina de acompanhamento e métricas</t>
        </is>
      </c>
      <c r="C14" s="178" t="inlineStr">
        <is>
          <t>R00</t>
        </is>
      </c>
      <c r="D14" s="178" t="inlineStr">
        <is>
          <t>Processo de Monitoramento e Controle</t>
        </is>
      </c>
      <c r="E14" s="178" t="inlineStr">
        <is>
          <t>Gestão</t>
        </is>
      </c>
      <c r="F14" s="183" t="n">
        <v>46315</v>
      </c>
      <c r="G14" s="183" t="n">
        <v>46315</v>
      </c>
      <c r="H14" s="178">
        <f>NETWORKDAYS(F14,G14,Premissas!$B$10:$B$14)</f>
        <v/>
      </c>
      <c r="I14" s="184" t="n">
        <v>0.1</v>
      </c>
      <c r="J14" s="176">
        <f t="array" ref="J14">INDEX(Geral!$J$13:$J$20,MATCH(D14,Geral!$G$13:$G$20,0))*I14</f>
        <v/>
      </c>
      <c r="K14" s="178" t="n"/>
      <c r="L14" s="178" t="n"/>
      <c r="M14" s="185" t="inlineStr">
        <is>
          <t>Pronto</t>
        </is>
      </c>
      <c r="O14" s="186" t="n"/>
    </row>
    <row r="15" ht="15" customHeight="1" s="189">
      <c r="A15" s="179" t="inlineStr">
        <is>
          <t>Release 01 - 2 CRUDs (21/10 a 19/11)</t>
        </is>
      </c>
      <c r="B15" s="180" t="n"/>
      <c r="C15" s="180" t="n"/>
      <c r="D15" s="180" t="n"/>
      <c r="E15" s="180" t="n"/>
      <c r="F15" s="180" t="n"/>
      <c r="G15" s="180" t="n"/>
      <c r="H15" s="180" t="n"/>
      <c r="I15" s="180" t="n"/>
      <c r="J15" s="180" t="n"/>
      <c r="K15" s="180" t="n"/>
      <c r="L15" s="180" t="n"/>
      <c r="M15" s="181" t="n"/>
      <c r="N15" s="180" t="n"/>
      <c r="O15" s="180" t="n"/>
      <c r="P15" s="180" t="n"/>
      <c r="Q15" s="180" t="n"/>
      <c r="R15" s="180" t="n"/>
      <c r="S15" s="180" t="n"/>
      <c r="T15" s="180" t="n"/>
      <c r="U15" s="180" t="n"/>
      <c r="V15" s="180" t="n"/>
      <c r="W15" s="180" t="n"/>
      <c r="X15" s="180" t="n"/>
      <c r="Y15" s="180" t="n"/>
      <c r="Z15" s="180" t="n"/>
      <c r="AA15" s="180" t="n"/>
      <c r="AB15" s="180" t="n"/>
      <c r="AC15" s="180" t="n"/>
      <c r="AD15" s="180" t="n"/>
      <c r="AE15" s="180" t="n"/>
      <c r="AF15" s="180" t="n"/>
      <c r="AG15" s="180" t="n"/>
      <c r="AH15" s="180" t="n"/>
      <c r="AI15" s="180" t="n"/>
      <c r="AJ15" s="180" t="n"/>
    </row>
    <row r="16" ht="20.25" customHeight="1" s="189">
      <c r="A16" s="178" t="n">
        <v>9</v>
      </c>
      <c r="B16" s="188" t="inlineStr">
        <is>
          <t>Configurar repositório (SVN/GIT), Mantis/Bugzilla e Selenium</t>
        </is>
      </c>
      <c r="C16" s="178" t="inlineStr">
        <is>
          <t>R01</t>
        </is>
      </c>
      <c r="D16" s="178" t="inlineStr">
        <is>
          <t>Fase de Planejamento</t>
        </is>
      </c>
      <c r="E16" s="178" t="inlineStr">
        <is>
          <t>Gestão</t>
        </is>
      </c>
      <c r="F16" s="183" t="n">
        <v>46316</v>
      </c>
      <c r="G16" s="183" t="n">
        <v>46317</v>
      </c>
      <c r="H16" s="178">
        <f>NETWORKDAYS(F16,G16,Premissas!$B$10:$B$14)</f>
        <v/>
      </c>
      <c r="I16" s="184" t="n">
        <v>0.3</v>
      </c>
      <c r="J16" s="176">
        <f t="array" ref="J16">INDEX(Geral!$J$13:$J$20,MATCH(D16,Geral!$G$13:$G$20,0))*I16</f>
        <v/>
      </c>
      <c r="K16" s="178" t="n"/>
      <c r="L16" s="178" t="n"/>
      <c r="M16" s="185" t="inlineStr">
        <is>
          <t>Planejado</t>
        </is>
      </c>
      <c r="P16" s="186" t="n"/>
      <c r="Q16" s="186" t="n"/>
    </row>
    <row r="17" ht="15" customHeight="1" s="189">
      <c r="A17" s="178" t="n">
        <v>10</v>
      </c>
      <c r="B17" s="188" t="inlineStr">
        <is>
          <t>Arquitetura, tecnologias e padrões de projeto</t>
        </is>
      </c>
      <c r="C17" s="178" t="inlineStr">
        <is>
          <t>R01</t>
        </is>
      </c>
      <c r="D17" s="178" t="inlineStr">
        <is>
          <t>Fase de Projeto</t>
        </is>
      </c>
      <c r="E17" s="178" t="inlineStr">
        <is>
          <t>Projeto</t>
        </is>
      </c>
      <c r="F17" s="183" t="n">
        <v>46316</v>
      </c>
      <c r="G17" s="183" t="n">
        <v>46317</v>
      </c>
      <c r="H17" s="178">
        <f>NETWORKDAYS(F17,G17,Premissas!$B$10:$B$14)</f>
        <v/>
      </c>
      <c r="I17" s="184" t="n">
        <v>0.4</v>
      </c>
      <c r="J17" s="176">
        <f t="array" ref="J17">INDEX(Geral!$J$13:$J$20,MATCH(D17,Geral!$G$13:$G$20,0))*I17</f>
        <v/>
      </c>
      <c r="K17" s="178" t="n"/>
      <c r="L17" s="178" t="n"/>
      <c r="M17" s="185" t="inlineStr">
        <is>
          <t>Planejado</t>
        </is>
      </c>
      <c r="P17" s="186" t="n"/>
      <c r="Q17" s="186" t="n"/>
    </row>
    <row r="18" ht="15" customHeight="1" s="189">
      <c r="A18" s="178" t="n">
        <v>11</v>
      </c>
      <c r="B18" s="188" t="inlineStr">
        <is>
          <t>Modelo de dados e protótipos de tela (RFC01, RFC02)</t>
        </is>
      </c>
      <c r="C18" s="178" t="inlineStr">
        <is>
          <t>R01</t>
        </is>
      </c>
      <c r="D18" s="178" t="inlineStr">
        <is>
          <t>Fase de Projeto</t>
        </is>
      </c>
      <c r="E18" s="178" t="inlineStr">
        <is>
          <t>Projeto</t>
        </is>
      </c>
      <c r="F18" s="183" t="n">
        <v>46317</v>
      </c>
      <c r="G18" s="183" t="n">
        <v>46318</v>
      </c>
      <c r="H18" s="178">
        <f>NETWORKDAYS(F18,G18,Premissas!$B$10:$B$14)</f>
        <v/>
      </c>
      <c r="I18" s="184" t="n">
        <v>0.2</v>
      </c>
      <c r="J18" s="176">
        <f t="array" ref="J18">INDEX(Geral!$J$13:$J$20,MATCH(D18,Geral!$G$13:$G$20,0))*I18</f>
        <v/>
      </c>
      <c r="K18" s="178" t="n"/>
      <c r="L18" s="178" t="n"/>
      <c r="M18" s="185" t="inlineStr">
        <is>
          <t>Planejado</t>
        </is>
      </c>
      <c r="Q18" s="186" t="n"/>
      <c r="R18" s="186" t="n"/>
    </row>
    <row r="19" ht="15" customHeight="1" s="189">
      <c r="A19" s="178" t="n">
        <v>12</v>
      </c>
      <c r="B19" s="188" t="inlineStr">
        <is>
          <t>Refinar requisitos e atualizar MRB (R01)</t>
        </is>
      </c>
      <c r="C19" s="178" t="inlineStr">
        <is>
          <t>R01</t>
        </is>
      </c>
      <c r="D19" s="178" t="inlineStr">
        <is>
          <t>Fase de Análise</t>
        </is>
      </c>
      <c r="E19" s="178" t="inlineStr">
        <is>
          <t>Documento</t>
        </is>
      </c>
      <c r="F19" s="183" t="n">
        <v>46317</v>
      </c>
      <c r="G19" s="183" t="n">
        <v>46318</v>
      </c>
      <c r="H19" s="178">
        <f>NETWORKDAYS(F19,G19,Premissas!$B$10:$B$14)</f>
        <v/>
      </c>
      <c r="I19" s="184" t="n">
        <v>0.1</v>
      </c>
      <c r="J19" s="176">
        <f t="array" ref="J19">INDEX(Geral!$J$13:$J$20,MATCH(D19,Geral!$G$13:$G$20,0))*I19</f>
        <v/>
      </c>
      <c r="K19" s="178" t="n"/>
      <c r="L19" s="178" t="n"/>
      <c r="M19" s="185" t="inlineStr">
        <is>
          <t>Planejado</t>
        </is>
      </c>
      <c r="Q19" s="186" t="n"/>
      <c r="R19" s="186" t="n"/>
    </row>
    <row r="20" ht="15" customHeight="1" s="189">
      <c r="A20" s="178" t="n">
        <v>13</v>
      </c>
      <c r="B20" s="188" t="inlineStr">
        <is>
          <t>Implementar [RFC01] Manter Usuário</t>
        </is>
      </c>
      <c r="C20" s="178" t="inlineStr">
        <is>
          <t>R01</t>
        </is>
      </c>
      <c r="D20" s="178" t="inlineStr">
        <is>
          <t>Fase de Desenvolvimento</t>
        </is>
      </c>
      <c r="E20" s="178" t="inlineStr">
        <is>
          <t>CRUD</t>
        </is>
      </c>
      <c r="F20" s="183" t="n">
        <v>46322</v>
      </c>
      <c r="G20" s="183" t="n">
        <v>46323</v>
      </c>
      <c r="H20" s="178">
        <f>NETWORKDAYS(F20,G20,Premissas!$B$10:$B$14)</f>
        <v/>
      </c>
      <c r="I20" s="187">
        <f>Premissas!$C$5*K20/UC!$D$10</f>
        <v/>
      </c>
      <c r="J20" s="176">
        <f t="array" ref="J20">INDEX(Geral!$J$13:$J$20,MATCH(D20,Geral!$G$13:$G$20,0))*I20</f>
        <v/>
      </c>
      <c r="K20" s="178">
        <f t="array" ref="K20">INDEX(UC!$C$7:$C$9,MATCH(UC!$D$13,UC!$B$7:$B$9,0))</f>
        <v/>
      </c>
      <c r="L20" s="178" t="n"/>
      <c r="M20" s="185" t="inlineStr">
        <is>
          <t>Planejado</t>
        </is>
      </c>
      <c r="T20" s="186" t="n"/>
      <c r="U20" s="186" t="n"/>
    </row>
    <row r="21" ht="15" customHeight="1" s="189">
      <c r="A21" s="178" t="n">
        <v>14</v>
      </c>
      <c r="B21" s="188" t="inlineStr">
        <is>
          <t>Implementar [RFC02] Manter Campeonato</t>
        </is>
      </c>
      <c r="C21" s="178" t="inlineStr">
        <is>
          <t>R01</t>
        </is>
      </c>
      <c r="D21" s="178" t="inlineStr">
        <is>
          <t>Fase de Desenvolvimento</t>
        </is>
      </c>
      <c r="E21" s="178" t="inlineStr">
        <is>
          <t>CRUD</t>
        </is>
      </c>
      <c r="F21" s="183" t="n">
        <v>46322</v>
      </c>
      <c r="G21" s="183" t="n">
        <v>46323</v>
      </c>
      <c r="H21" s="178">
        <f>NETWORKDAYS(F21,G21,Premissas!$B$10:$B$14)</f>
        <v/>
      </c>
      <c r="I21" s="187">
        <f>Premissas!$C$5*K21/UC!$D$10</f>
        <v/>
      </c>
      <c r="J21" s="176">
        <f t="array" ref="J21">INDEX(Geral!$J$13:$J$20,MATCH(D21,Geral!$G$13:$G$20,0))*I21</f>
        <v/>
      </c>
      <c r="K21" s="178">
        <f t="array" ref="K21">INDEX(UC!$C$7:$C$9,MATCH(UC!$D$14,UC!$B$7:$B$9,0))</f>
        <v/>
      </c>
      <c r="L21" s="178" t="n"/>
      <c r="M21" s="185" t="inlineStr">
        <is>
          <t>Planejado</t>
        </is>
      </c>
      <c r="T21" s="186" t="n"/>
      <c r="U21" s="186" t="n"/>
    </row>
    <row r="22" ht="15" customHeight="1" s="189">
      <c r="A22" s="178" t="n">
        <v>15</v>
      </c>
      <c r="B22" s="188" t="inlineStr">
        <is>
          <t>Testes com Selenium e registro de bugs (Mantis/Bugzilla) - R01</t>
        </is>
      </c>
      <c r="C22" s="178" t="inlineStr">
        <is>
          <t>R01</t>
        </is>
      </c>
      <c r="D22" s="178" t="inlineStr">
        <is>
          <t>Fase de Desenvolvimento</t>
        </is>
      </c>
      <c r="E22" s="178" t="inlineStr">
        <is>
          <t>Testes</t>
        </is>
      </c>
      <c r="F22" s="183" t="n">
        <v>46324</v>
      </c>
      <c r="G22" s="183" t="n">
        <v>46324</v>
      </c>
      <c r="H22" s="178">
        <f>NETWORKDAYS(F22,G22,Premissas!$B$10:$B$14)</f>
        <v/>
      </c>
      <c r="I22" s="187">
        <f>Premissas!$C$6*L22/UC!$D$10</f>
        <v/>
      </c>
      <c r="J22" s="176">
        <f t="array" ref="J22">INDEX(Geral!$J$13:$J$20,MATCH(D22,Geral!$G$13:$G$20,0))*I22</f>
        <v/>
      </c>
      <c r="K22" s="178" t="n"/>
      <c r="L22" s="178">
        <f>SUMIFS($K$6:$K$80,$C$6:$C$80,C22)</f>
        <v/>
      </c>
      <c r="M22" s="185" t="inlineStr">
        <is>
          <t>Planejado</t>
        </is>
      </c>
      <c r="V22" s="186" t="n"/>
    </row>
    <row r="23" ht="15" customHeight="1" s="189">
      <c r="A23" s="178" t="n">
        <v>16</v>
      </c>
      <c r="B23" s="188" t="inlineStr">
        <is>
          <t>Atualizar cronograma com dados de execução e salvar baseline (SVN/GIT) - R01</t>
        </is>
      </c>
      <c r="C23" s="178" t="inlineStr">
        <is>
          <t>R01</t>
        </is>
      </c>
      <c r="D23" s="178" t="inlineStr">
        <is>
          <t>Processo de Monitoramento e Controle</t>
        </is>
      </c>
      <c r="E23" s="178" t="inlineStr">
        <is>
          <t>Gestão</t>
        </is>
      </c>
      <c r="F23" s="183" t="n">
        <v>46345</v>
      </c>
      <c r="G23" s="183" t="n">
        <v>46345</v>
      </c>
      <c r="H23" s="178">
        <f>NETWORKDAYS(F23,G23,Premissas!$B$10:$B$14)</f>
        <v/>
      </c>
      <c r="I23" s="184" t="n">
        <v>0.225</v>
      </c>
      <c r="J23" s="176">
        <f t="array" ref="J23">INDEX(Geral!$J$13:$J$20,MATCH(D23,Geral!$G$13:$G$20,0))*I23</f>
        <v/>
      </c>
      <c r="K23" s="178" t="n"/>
      <c r="L23" s="178" t="n"/>
      <c r="M23" s="185" t="inlineStr">
        <is>
          <t>Planejado</t>
        </is>
      </c>
      <c r="AJ23" s="186" t="n"/>
    </row>
    <row r="24" ht="15" customHeight="1" s="189">
      <c r="A24" s="178" t="n">
        <v>17</v>
      </c>
      <c r="B24" s="188" t="inlineStr">
        <is>
          <t>Controle de mudanças - R01</t>
        </is>
      </c>
      <c r="C24" s="178" t="inlineStr">
        <is>
          <t>R01</t>
        </is>
      </c>
      <c r="D24" s="178" t="inlineStr">
        <is>
          <t>Processo Controle de mudanças</t>
        </is>
      </c>
      <c r="E24" s="178" t="inlineStr">
        <is>
          <t>Gestão</t>
        </is>
      </c>
      <c r="F24" s="183" t="n">
        <v>46345</v>
      </c>
      <c r="G24" s="183" t="n">
        <v>46345</v>
      </c>
      <c r="H24" s="178">
        <f>NETWORKDAYS(F24,G24,Premissas!$B$10:$B$14)</f>
        <v/>
      </c>
      <c r="I24" s="184" t="n">
        <v>0.25</v>
      </c>
      <c r="J24" s="176">
        <f t="array" ref="J24">INDEX(Geral!$J$13:$J$20,MATCH(D24,Geral!$G$13:$G$20,0))*I24</f>
        <v/>
      </c>
      <c r="K24" s="178" t="n"/>
      <c r="L24" s="178" t="n"/>
      <c r="M24" s="185" t="inlineStr">
        <is>
          <t>Planejado</t>
        </is>
      </c>
      <c r="AJ24" s="186" t="n"/>
    </row>
    <row r="25" ht="15" customHeight="1" s="189">
      <c r="A25" s="179" t="inlineStr">
        <is>
          <t>Release 02 - 4 CRUDs acumulados (30/10 a 19/11)</t>
        </is>
      </c>
      <c r="B25" s="180" t="n"/>
      <c r="C25" s="180" t="n"/>
      <c r="D25" s="180" t="n"/>
      <c r="E25" s="180" t="n"/>
      <c r="F25" s="180" t="n"/>
      <c r="G25" s="180" t="n"/>
      <c r="H25" s="180" t="n"/>
      <c r="I25" s="180" t="n"/>
      <c r="J25" s="180" t="n"/>
      <c r="K25" s="180" t="n"/>
      <c r="L25" s="180" t="n"/>
      <c r="M25" s="181" t="n"/>
      <c r="N25" s="180" t="n"/>
      <c r="O25" s="180" t="n"/>
      <c r="P25" s="180" t="n"/>
      <c r="Q25" s="180" t="n"/>
      <c r="R25" s="180" t="n"/>
      <c r="S25" s="180" t="n"/>
      <c r="T25" s="180" t="n"/>
      <c r="U25" s="180" t="n"/>
      <c r="V25" s="180" t="n"/>
      <c r="W25" s="180" t="n"/>
      <c r="X25" s="180" t="n"/>
      <c r="Y25" s="180" t="n"/>
      <c r="Z25" s="180" t="n"/>
      <c r="AA25" s="180" t="n"/>
      <c r="AB25" s="180" t="n"/>
      <c r="AC25" s="180" t="n"/>
      <c r="AD25" s="180" t="n"/>
      <c r="AE25" s="180" t="n"/>
      <c r="AF25" s="180" t="n"/>
      <c r="AG25" s="180" t="n"/>
      <c r="AH25" s="180" t="n"/>
      <c r="AI25" s="180" t="n"/>
      <c r="AJ25" s="180" t="n"/>
    </row>
    <row r="26" ht="15" customHeight="1" s="189">
      <c r="A26" s="178" t="n">
        <v>18</v>
      </c>
      <c r="B26" s="188" t="inlineStr">
        <is>
          <t>Modelo de dados e protótipos de tela (RFC03, RFC07)</t>
        </is>
      </c>
      <c r="C26" s="178" t="inlineStr">
        <is>
          <t>R02</t>
        </is>
      </c>
      <c r="D26" s="178" t="inlineStr">
        <is>
          <t>Fase de Projeto</t>
        </is>
      </c>
      <c r="E26" s="178" t="inlineStr">
        <is>
          <t>Projeto</t>
        </is>
      </c>
      <c r="F26" s="183" t="n">
        <v>46325</v>
      </c>
      <c r="G26" s="183" t="n">
        <v>46329</v>
      </c>
      <c r="H26" s="178">
        <f>NETWORKDAYS(F26,G26,Premissas!$B$10:$B$14)</f>
        <v/>
      </c>
      <c r="I26" s="184" t="n">
        <v>0.15</v>
      </c>
      <c r="J26" s="176">
        <f t="array" ref="J26">INDEX(Geral!$J$13:$J$20,MATCH(D26,Geral!$G$13:$G$20,0))*I26</f>
        <v/>
      </c>
      <c r="K26" s="178" t="n"/>
      <c r="L26" s="178" t="n"/>
      <c r="M26" s="185" t="inlineStr">
        <is>
          <t>Planejado</t>
        </is>
      </c>
      <c r="W26" s="186" t="n"/>
      <c r="X26" s="186" t="n"/>
    </row>
    <row r="27" ht="15" customHeight="1" s="189">
      <c r="A27" s="178" t="n">
        <v>19</v>
      </c>
      <c r="B27" s="188" t="inlineStr">
        <is>
          <t>Refinar requisitos e atualizar MRB (R02)</t>
        </is>
      </c>
      <c r="C27" s="178" t="inlineStr">
        <is>
          <t>R02</t>
        </is>
      </c>
      <c r="D27" s="178" t="inlineStr">
        <is>
          <t>Fase de Análise</t>
        </is>
      </c>
      <c r="E27" s="178" t="inlineStr">
        <is>
          <t>Documento</t>
        </is>
      </c>
      <c r="F27" s="183" t="n">
        <v>46325</v>
      </c>
      <c r="G27" s="183" t="n">
        <v>46325</v>
      </c>
      <c r="H27" s="178">
        <f>NETWORKDAYS(F27,G27,Premissas!$B$10:$B$14)</f>
        <v/>
      </c>
      <c r="I27" s="184" t="n">
        <v>0.1</v>
      </c>
      <c r="J27" s="176">
        <f t="array" ref="J27">INDEX(Geral!$J$13:$J$20,MATCH(D27,Geral!$G$13:$G$20,0))*I27</f>
        <v/>
      </c>
      <c r="K27" s="178" t="n"/>
      <c r="L27" s="178" t="n"/>
      <c r="M27" s="185" t="inlineStr">
        <is>
          <t>Planejado</t>
        </is>
      </c>
      <c r="W27" s="186" t="n"/>
    </row>
    <row r="28" ht="15" customHeight="1" s="189">
      <c r="A28" s="178" t="n">
        <v>20</v>
      </c>
      <c r="B28" s="188" t="inlineStr">
        <is>
          <t>Implementar [RFC07] Manter Equipe</t>
        </is>
      </c>
      <c r="C28" s="178" t="inlineStr">
        <is>
          <t>R02</t>
        </is>
      </c>
      <c r="D28" s="178" t="inlineStr">
        <is>
          <t>Fase de Desenvolvimento</t>
        </is>
      </c>
      <c r="E28" s="178" t="inlineStr">
        <is>
          <t>CRUD</t>
        </is>
      </c>
      <c r="F28" s="183" t="n">
        <v>46325</v>
      </c>
      <c r="G28" s="183" t="n">
        <v>46330</v>
      </c>
      <c r="H28" s="178">
        <f>NETWORKDAYS(F28,G28,Premissas!$B$10:$B$14)</f>
        <v/>
      </c>
      <c r="I28" s="187">
        <f>Premissas!$C$5*K28/UC!$D$10</f>
        <v/>
      </c>
      <c r="J28" s="176">
        <f t="array" ref="J28">INDEX(Geral!$J$13:$J$20,MATCH(D28,Geral!$G$13:$G$20,0))*I28</f>
        <v/>
      </c>
      <c r="K28" s="178">
        <f t="array" ref="K28">INDEX(UC!$C$7:$C$9,MATCH(UC!$D$17,UC!$B$7:$B$9,0))</f>
        <v/>
      </c>
      <c r="L28" s="178" t="n"/>
      <c r="M28" s="185" t="inlineStr">
        <is>
          <t>Planejado</t>
        </is>
      </c>
      <c r="W28" s="186" t="n"/>
      <c r="X28" s="186" t="n"/>
      <c r="Y28" s="186" t="n"/>
    </row>
    <row r="29" ht="15" customHeight="1" s="189">
      <c r="A29" s="178" t="n">
        <v>21</v>
      </c>
      <c r="B29" s="188" t="inlineStr">
        <is>
          <t>Implementar [RFC03] Manter Tabela de Jogos</t>
        </is>
      </c>
      <c r="C29" s="178" t="inlineStr">
        <is>
          <t>R02</t>
        </is>
      </c>
      <c r="D29" s="178" t="inlineStr">
        <is>
          <t>Fase de Desenvolvimento</t>
        </is>
      </c>
      <c r="E29" s="178" t="inlineStr">
        <is>
          <t>CRUD</t>
        </is>
      </c>
      <c r="F29" s="183" t="n">
        <v>46329</v>
      </c>
      <c r="G29" s="183" t="n">
        <v>46330</v>
      </c>
      <c r="H29" s="178">
        <f>NETWORKDAYS(F29,G29,Premissas!$B$10:$B$14)</f>
        <v/>
      </c>
      <c r="I29" s="187">
        <f>Premissas!$C$5*K29/UC!$D$10</f>
        <v/>
      </c>
      <c r="J29" s="176">
        <f t="array" ref="J29">INDEX(Geral!$J$13:$J$20,MATCH(D29,Geral!$G$13:$G$20,0))*I29</f>
        <v/>
      </c>
      <c r="K29" s="178">
        <f t="array" ref="K29">INDEX(UC!$C$7:$C$9,MATCH(UC!$D$15,UC!$B$7:$B$9,0))</f>
        <v/>
      </c>
      <c r="L29" s="178" t="n"/>
      <c r="M29" s="185" t="inlineStr">
        <is>
          <t>Planejado</t>
        </is>
      </c>
      <c r="X29" s="186" t="n"/>
      <c r="Y29" s="186" t="n"/>
    </row>
    <row r="30" ht="15" customHeight="1" s="189">
      <c r="A30" s="178" t="n">
        <v>22</v>
      </c>
      <c r="B30" s="188" t="inlineStr">
        <is>
          <t>Testes com Selenium e registro de bugs (Mantis/Bugzilla) - R02</t>
        </is>
      </c>
      <c r="C30" s="178" t="inlineStr">
        <is>
          <t>R02</t>
        </is>
      </c>
      <c r="D30" s="178" t="inlineStr">
        <is>
          <t>Fase de Desenvolvimento</t>
        </is>
      </c>
      <c r="E30" s="178" t="inlineStr">
        <is>
          <t>Testes</t>
        </is>
      </c>
      <c r="F30" s="183" t="n">
        <v>46331</v>
      </c>
      <c r="G30" s="183" t="n">
        <v>46331</v>
      </c>
      <c r="H30" s="178">
        <f>NETWORKDAYS(F30,G30,Premissas!$B$10:$B$14)</f>
        <v/>
      </c>
      <c r="I30" s="187">
        <f>Premissas!$C$6*L30/UC!$D$10</f>
        <v/>
      </c>
      <c r="J30" s="176">
        <f t="array" ref="J30">INDEX(Geral!$J$13:$J$20,MATCH(D30,Geral!$G$13:$G$20,0))*I30</f>
        <v/>
      </c>
      <c r="K30" s="178" t="n"/>
      <c r="L30" s="178">
        <f>SUMIFS($K$6:$K$80,$C$6:$C$80,C30)</f>
        <v/>
      </c>
      <c r="M30" s="185" t="inlineStr">
        <is>
          <t>Planejado</t>
        </is>
      </c>
      <c r="Z30" s="186" t="n"/>
    </row>
    <row r="31" ht="15" customHeight="1" s="189">
      <c r="A31" s="178" t="n">
        <v>23</v>
      </c>
      <c r="B31" s="188" t="inlineStr">
        <is>
          <t>Atualizar cronograma com dados de execução e salvar baseline (SVN/GIT) - R02</t>
        </is>
      </c>
      <c r="C31" s="178" t="inlineStr">
        <is>
          <t>R02</t>
        </is>
      </c>
      <c r="D31" s="178" t="inlineStr">
        <is>
          <t>Processo de Monitoramento e Controle</t>
        </is>
      </c>
      <c r="E31" s="178" t="inlineStr">
        <is>
          <t>Gestão</t>
        </is>
      </c>
      <c r="F31" s="183" t="n">
        <v>46345</v>
      </c>
      <c r="G31" s="183" t="n">
        <v>46345</v>
      </c>
      <c r="H31" s="178">
        <f>NETWORKDAYS(F31,G31,Premissas!$B$10:$B$14)</f>
        <v/>
      </c>
      <c r="I31" s="184" t="n">
        <v>0.225</v>
      </c>
      <c r="J31" s="176">
        <f t="array" ref="J31">INDEX(Geral!$J$13:$J$20,MATCH(D31,Geral!$G$13:$G$20,0))*I31</f>
        <v/>
      </c>
      <c r="K31" s="178" t="n"/>
      <c r="L31" s="178" t="n"/>
      <c r="M31" s="185" t="inlineStr">
        <is>
          <t>Planejado</t>
        </is>
      </c>
      <c r="AJ31" s="186" t="n"/>
    </row>
    <row r="32" ht="15" customHeight="1" s="189">
      <c r="A32" s="178" t="n">
        <v>24</v>
      </c>
      <c r="B32" s="188" t="inlineStr">
        <is>
          <t>Controle de mudanças - R02</t>
        </is>
      </c>
      <c r="C32" s="178" t="inlineStr">
        <is>
          <t>R02</t>
        </is>
      </c>
      <c r="D32" s="178" t="inlineStr">
        <is>
          <t>Processo Controle de mudanças</t>
        </is>
      </c>
      <c r="E32" s="178" t="inlineStr">
        <is>
          <t>Gestão</t>
        </is>
      </c>
      <c r="F32" s="183" t="n">
        <v>46345</v>
      </c>
      <c r="G32" s="183" t="n">
        <v>46345</v>
      </c>
      <c r="H32" s="178">
        <f>NETWORKDAYS(F32,G32,Premissas!$B$10:$B$14)</f>
        <v/>
      </c>
      <c r="I32" s="184" t="n">
        <v>0.25</v>
      </c>
      <c r="J32" s="176">
        <f t="array" ref="J32">INDEX(Geral!$J$13:$J$20,MATCH(D32,Geral!$G$13:$G$20,0))*I32</f>
        <v/>
      </c>
      <c r="K32" s="178" t="n"/>
      <c r="L32" s="178" t="n"/>
      <c r="M32" s="185" t="inlineStr">
        <is>
          <t>Planejado</t>
        </is>
      </c>
      <c r="AJ32" s="186" t="n"/>
    </row>
    <row r="33" ht="15" customHeight="1" s="189">
      <c r="A33" s="179" t="inlineStr">
        <is>
          <t>Release 03 - 6 CRUDs acumulados + 1 relatório (06/11 a 19/11)</t>
        </is>
      </c>
      <c r="B33" s="180" t="n"/>
      <c r="C33" s="180" t="n"/>
      <c r="D33" s="180" t="n"/>
      <c r="E33" s="180" t="n"/>
      <c r="F33" s="180" t="n"/>
      <c r="G33" s="180" t="n"/>
      <c r="H33" s="180" t="n"/>
      <c r="I33" s="180" t="n"/>
      <c r="J33" s="180" t="n"/>
      <c r="K33" s="180" t="n"/>
      <c r="L33" s="180" t="n"/>
      <c r="M33" s="181" t="n"/>
      <c r="N33" s="180" t="n"/>
      <c r="O33" s="180" t="n"/>
      <c r="P33" s="180" t="n"/>
      <c r="Q33" s="180" t="n"/>
      <c r="R33" s="180" t="n"/>
      <c r="S33" s="180" t="n"/>
      <c r="T33" s="180" t="n"/>
      <c r="U33" s="180" t="n"/>
      <c r="V33" s="180" t="n"/>
      <c r="W33" s="180" t="n"/>
      <c r="X33" s="180" t="n"/>
      <c r="Y33" s="180" t="n"/>
      <c r="Z33" s="180" t="n"/>
      <c r="AA33" s="180" t="n"/>
      <c r="AB33" s="180" t="n"/>
      <c r="AC33" s="180" t="n"/>
      <c r="AD33" s="180" t="n"/>
      <c r="AE33" s="180" t="n"/>
      <c r="AF33" s="180" t="n"/>
      <c r="AG33" s="180" t="n"/>
      <c r="AH33" s="180" t="n"/>
      <c r="AI33" s="180" t="n"/>
      <c r="AJ33" s="180" t="n"/>
    </row>
    <row r="34" ht="15" customHeight="1" s="189">
      <c r="A34" s="178" t="n">
        <v>25</v>
      </c>
      <c r="B34" s="188" t="inlineStr">
        <is>
          <t>Modelo de dados e protótipos de tela (RFC04, RFC08, RFC13)</t>
        </is>
      </c>
      <c r="C34" s="178" t="inlineStr">
        <is>
          <t>R03</t>
        </is>
      </c>
      <c r="D34" s="178" t="inlineStr">
        <is>
          <t>Fase de Projeto</t>
        </is>
      </c>
      <c r="E34" s="178" t="inlineStr">
        <is>
          <t>Projeto</t>
        </is>
      </c>
      <c r="F34" s="183" t="n">
        <v>46332</v>
      </c>
      <c r="G34" s="183" t="n">
        <v>46335</v>
      </c>
      <c r="H34" s="178">
        <f>NETWORKDAYS(F34,G34,Premissas!$B$10:$B$14)</f>
        <v/>
      </c>
      <c r="I34" s="184" t="n">
        <v>0.15</v>
      </c>
      <c r="J34" s="176">
        <f t="array" ref="J34">INDEX(Geral!$J$13:$J$20,MATCH(D34,Geral!$G$13:$G$20,0))*I34</f>
        <v/>
      </c>
      <c r="K34" s="178" t="n"/>
      <c r="L34" s="178" t="n"/>
      <c r="M34" s="185" t="inlineStr">
        <is>
          <t>Planejado</t>
        </is>
      </c>
      <c r="AA34" s="186" t="n"/>
      <c r="AB34" s="186" t="n"/>
    </row>
    <row r="35" ht="15" customHeight="1" s="189">
      <c r="A35" s="178" t="n">
        <v>26</v>
      </c>
      <c r="B35" s="188" t="inlineStr">
        <is>
          <t>Refinar requisitos e atualizar MRB (R03)</t>
        </is>
      </c>
      <c r="C35" s="178" t="inlineStr">
        <is>
          <t>R03</t>
        </is>
      </c>
      <c r="D35" s="178" t="inlineStr">
        <is>
          <t>Fase de Análise</t>
        </is>
      </c>
      <c r="E35" s="178" t="inlineStr">
        <is>
          <t>Documento</t>
        </is>
      </c>
      <c r="F35" s="183" t="n">
        <v>46332</v>
      </c>
      <c r="G35" s="183" t="n">
        <v>46332</v>
      </c>
      <c r="H35" s="178">
        <f>NETWORKDAYS(F35,G35,Premissas!$B$10:$B$14)</f>
        <v/>
      </c>
      <c r="I35" s="184" t="n">
        <v>0.1</v>
      </c>
      <c r="J35" s="176">
        <f t="array" ref="J35">INDEX(Geral!$J$13:$J$20,MATCH(D35,Geral!$G$13:$G$20,0))*I35</f>
        <v/>
      </c>
      <c r="K35" s="178" t="n"/>
      <c r="L35" s="178" t="n"/>
      <c r="M35" s="185" t="inlineStr">
        <is>
          <t>Planejado</t>
        </is>
      </c>
      <c r="AA35" s="186" t="n"/>
    </row>
    <row r="36" ht="15" customHeight="1" s="189">
      <c r="A36" s="178" t="n">
        <v>27</v>
      </c>
      <c r="B36" s="188" t="inlineStr">
        <is>
          <t>Implementar [RFC08] Realizar Inscrição em Campeonato</t>
        </is>
      </c>
      <c r="C36" s="178" t="inlineStr">
        <is>
          <t>R03</t>
        </is>
      </c>
      <c r="D36" s="178" t="inlineStr">
        <is>
          <t>Fase de Desenvolvimento</t>
        </is>
      </c>
      <c r="E36" s="178" t="inlineStr">
        <is>
          <t>CRUD</t>
        </is>
      </c>
      <c r="F36" s="183" t="n">
        <v>46335</v>
      </c>
      <c r="G36" s="183" t="n">
        <v>46337</v>
      </c>
      <c r="H36" s="178">
        <f>NETWORKDAYS(F36,G36,Premissas!$B$10:$B$14)</f>
        <v/>
      </c>
      <c r="I36" s="187">
        <f>Premissas!$C$5*K36/UC!$D$10</f>
        <v/>
      </c>
      <c r="J36" s="176">
        <f t="array" ref="J36">INDEX(Geral!$J$13:$J$20,MATCH(D36,Geral!$G$13:$G$20,0))*I36</f>
        <v/>
      </c>
      <c r="K36" s="178">
        <f t="array" ref="K36">INDEX(UC!$C$7:$C$9,MATCH(UC!$D$18,UC!$B$7:$B$9,0))</f>
        <v/>
      </c>
      <c r="L36" s="178" t="n"/>
      <c r="M36" s="185" t="inlineStr">
        <is>
          <t>Planejado</t>
        </is>
      </c>
      <c r="AB36" s="186" t="n"/>
      <c r="AC36" s="186" t="n"/>
      <c r="AD36" s="186" t="n"/>
    </row>
    <row r="37" ht="15" customHeight="1" s="189">
      <c r="A37" s="178" t="n">
        <v>28</v>
      </c>
      <c r="B37" s="188" t="inlineStr">
        <is>
          <t>Implementar [RFC04] Registrar Resultados e Classificação</t>
        </is>
      </c>
      <c r="C37" s="178" t="inlineStr">
        <is>
          <t>R03</t>
        </is>
      </c>
      <c r="D37" s="178" t="inlineStr">
        <is>
          <t>Fase de Desenvolvimento</t>
        </is>
      </c>
      <c r="E37" s="178" t="inlineStr">
        <is>
          <t>CRUD</t>
        </is>
      </c>
      <c r="F37" s="183" t="n">
        <v>46336</v>
      </c>
      <c r="G37" s="183" t="n">
        <v>46337</v>
      </c>
      <c r="H37" s="178">
        <f>NETWORKDAYS(F37,G37,Premissas!$B$10:$B$14)</f>
        <v/>
      </c>
      <c r="I37" s="187">
        <f>Premissas!$C$5*K37/UC!$D$10</f>
        <v/>
      </c>
      <c r="J37" s="176">
        <f t="array" ref="J37">INDEX(Geral!$J$13:$J$20,MATCH(D37,Geral!$G$13:$G$20,0))*I37</f>
        <v/>
      </c>
      <c r="K37" s="178">
        <f t="array" ref="K37">INDEX(UC!$C$7:$C$9,MATCH(UC!$D$16,UC!$B$7:$B$9,0))</f>
        <v/>
      </c>
      <c r="L37" s="178" t="n"/>
      <c r="M37" s="185" t="inlineStr">
        <is>
          <t>Planejado</t>
        </is>
      </c>
      <c r="AC37" s="186" t="n"/>
      <c r="AD37" s="186" t="n"/>
    </row>
    <row r="38" ht="15" customHeight="1" s="189">
      <c r="A38" s="178" t="n">
        <v>29</v>
      </c>
      <c r="B38" s="188" t="inlineStr">
        <is>
          <t>Implementar [RFC13] Emitir Relatório de Inscrições</t>
        </is>
      </c>
      <c r="C38" s="178" t="inlineStr">
        <is>
          <t>R03</t>
        </is>
      </c>
      <c r="D38" s="178" t="inlineStr">
        <is>
          <t>Fase de Desenvolvimento</t>
        </is>
      </c>
      <c r="E38" s="178" t="inlineStr">
        <is>
          <t>Relatório</t>
        </is>
      </c>
      <c r="F38" s="183" t="n">
        <v>46337</v>
      </c>
      <c r="G38" s="183" t="n">
        <v>46337</v>
      </c>
      <c r="H38" s="178">
        <f>NETWORKDAYS(F38,G38,Premissas!$B$10:$B$14)</f>
        <v/>
      </c>
      <c r="I38" s="187">
        <f>Premissas!$C$5*K38/UC!$D$10</f>
        <v/>
      </c>
      <c r="J38" s="176">
        <f t="array" ref="J38">INDEX(Geral!$J$13:$J$20,MATCH(D38,Geral!$G$13:$G$20,0))*I38</f>
        <v/>
      </c>
      <c r="K38" s="178">
        <f t="array" ref="K38">INDEX(UC!$C$7:$C$9,MATCH(UC!$D$21,UC!$B$7:$B$9,0))</f>
        <v/>
      </c>
      <c r="L38" s="178" t="n"/>
      <c r="M38" s="185" t="inlineStr">
        <is>
          <t>Planejado</t>
        </is>
      </c>
      <c r="AD38" s="186" t="n"/>
    </row>
    <row r="39" ht="15" customHeight="1" s="189">
      <c r="A39" s="178" t="n">
        <v>30</v>
      </c>
      <c r="B39" s="188" t="inlineStr">
        <is>
          <t>Testes com Selenium e registro de bugs (Mantis/Bugzilla) - R03</t>
        </is>
      </c>
      <c r="C39" s="178" t="inlineStr">
        <is>
          <t>R03</t>
        </is>
      </c>
      <c r="D39" s="178" t="inlineStr">
        <is>
          <t>Fase de Desenvolvimento</t>
        </is>
      </c>
      <c r="E39" s="178" t="inlineStr">
        <is>
          <t>Testes</t>
        </is>
      </c>
      <c r="F39" s="183" t="n">
        <v>46338</v>
      </c>
      <c r="G39" s="183" t="n">
        <v>46338</v>
      </c>
      <c r="H39" s="178">
        <f>NETWORKDAYS(F39,G39,Premissas!$B$10:$B$14)</f>
        <v/>
      </c>
      <c r="I39" s="187">
        <f>Premissas!$C$6*L39/UC!$D$10</f>
        <v/>
      </c>
      <c r="J39" s="176">
        <f t="array" ref="J39">INDEX(Geral!$J$13:$J$20,MATCH(D39,Geral!$G$13:$G$20,0))*I39</f>
        <v/>
      </c>
      <c r="K39" s="178" t="n"/>
      <c r="L39" s="178">
        <f>SUMIFS($K$6:$K$80,$C$6:$C$80,C39)</f>
        <v/>
      </c>
      <c r="M39" s="185" t="inlineStr">
        <is>
          <t>Planejado</t>
        </is>
      </c>
      <c r="AE39" s="186" t="n"/>
    </row>
    <row r="40" ht="15" customHeight="1" s="189">
      <c r="A40" s="178" t="n">
        <v>31</v>
      </c>
      <c r="B40" s="188" t="inlineStr">
        <is>
          <t>Atualizar cronograma com dados de execução e salvar baseline (SVN/GIT) - R03</t>
        </is>
      </c>
      <c r="C40" s="178" t="inlineStr">
        <is>
          <t>R03</t>
        </is>
      </c>
      <c r="D40" s="178" t="inlineStr">
        <is>
          <t>Processo de Monitoramento e Controle</t>
        </is>
      </c>
      <c r="E40" s="178" t="inlineStr">
        <is>
          <t>Gestão</t>
        </is>
      </c>
      <c r="F40" s="183" t="n">
        <v>46345</v>
      </c>
      <c r="G40" s="183" t="n">
        <v>46345</v>
      </c>
      <c r="H40" s="178">
        <f>NETWORKDAYS(F40,G40,Premissas!$B$10:$B$14)</f>
        <v/>
      </c>
      <c r="I40" s="184" t="n">
        <v>0.225</v>
      </c>
      <c r="J40" s="176">
        <f t="array" ref="J40">INDEX(Geral!$J$13:$J$20,MATCH(D40,Geral!$G$13:$G$20,0))*I40</f>
        <v/>
      </c>
      <c r="K40" s="178" t="n"/>
      <c r="L40" s="178" t="n"/>
      <c r="M40" s="185" t="inlineStr">
        <is>
          <t>Planejado</t>
        </is>
      </c>
      <c r="AJ40" s="186" t="n"/>
    </row>
    <row r="41" ht="15" customHeight="1" s="189">
      <c r="A41" s="178" t="n">
        <v>32</v>
      </c>
      <c r="B41" s="188" t="inlineStr">
        <is>
          <t>Controle de mudanças - R03</t>
        </is>
      </c>
      <c r="C41" s="178" t="inlineStr">
        <is>
          <t>R03</t>
        </is>
      </c>
      <c r="D41" s="178" t="inlineStr">
        <is>
          <t>Processo Controle de mudanças</t>
        </is>
      </c>
      <c r="E41" s="178" t="inlineStr">
        <is>
          <t>Gestão</t>
        </is>
      </c>
      <c r="F41" s="183" t="n">
        <v>46345</v>
      </c>
      <c r="G41" s="183" t="n">
        <v>46345</v>
      </c>
      <c r="H41" s="178">
        <f>NETWORKDAYS(F41,G41,Premissas!$B$10:$B$14)</f>
        <v/>
      </c>
      <c r="I41" s="184" t="n">
        <v>0.25</v>
      </c>
      <c r="J41" s="176">
        <f t="array" ref="J41">INDEX(Geral!$J$13:$J$20,MATCH(D41,Geral!$G$13:$G$20,0))*I41</f>
        <v/>
      </c>
      <c r="K41" s="178" t="n"/>
      <c r="L41" s="178" t="n"/>
      <c r="M41" s="185" t="inlineStr">
        <is>
          <t>Planejado</t>
        </is>
      </c>
      <c r="AJ41" s="186" t="n"/>
    </row>
    <row r="42" ht="15" customHeight="1" s="189">
      <c r="A42" s="179" t="inlineStr">
        <is>
          <t>Release 04 - 8 CRUDs acumulados + 1 relatório (13/11 a 19/11)</t>
        </is>
      </c>
      <c r="B42" s="180" t="n"/>
      <c r="C42" s="180" t="n"/>
      <c r="D42" s="180" t="n"/>
      <c r="E42" s="180" t="n"/>
      <c r="F42" s="180" t="n"/>
      <c r="G42" s="180" t="n"/>
      <c r="H42" s="180" t="n"/>
      <c r="I42" s="180" t="n"/>
      <c r="J42" s="180" t="n"/>
      <c r="K42" s="180" t="n"/>
      <c r="L42" s="180" t="n"/>
      <c r="M42" s="181" t="n"/>
      <c r="N42" s="180" t="n"/>
      <c r="O42" s="180" t="n"/>
      <c r="P42" s="180" t="n"/>
      <c r="Q42" s="180" t="n"/>
      <c r="R42" s="180" t="n"/>
      <c r="S42" s="180" t="n"/>
      <c r="T42" s="180" t="n"/>
      <c r="U42" s="180" t="n"/>
      <c r="V42" s="180" t="n"/>
      <c r="W42" s="180" t="n"/>
      <c r="X42" s="180" t="n"/>
      <c r="Y42" s="180" t="n"/>
      <c r="Z42" s="180" t="n"/>
      <c r="AA42" s="180" t="n"/>
      <c r="AB42" s="180" t="n"/>
      <c r="AC42" s="180" t="n"/>
      <c r="AD42" s="180" t="n"/>
      <c r="AE42" s="180" t="n"/>
      <c r="AF42" s="180" t="n"/>
      <c r="AG42" s="180" t="n"/>
      <c r="AH42" s="180" t="n"/>
      <c r="AI42" s="180" t="n"/>
      <c r="AJ42" s="180" t="n"/>
    </row>
    <row r="43" ht="15" customHeight="1" s="189">
      <c r="A43" s="178" t="n">
        <v>33</v>
      </c>
      <c r="B43" s="188" t="inlineStr">
        <is>
          <t>Modelo de dados e protótipos de tela (RFC09, RFC10)</t>
        </is>
      </c>
      <c r="C43" s="178" t="inlineStr">
        <is>
          <t>R04</t>
        </is>
      </c>
      <c r="D43" s="178" t="inlineStr">
        <is>
          <t>Fase de Projeto</t>
        </is>
      </c>
      <c r="E43" s="178" t="inlineStr">
        <is>
          <t>Projeto</t>
        </is>
      </c>
      <c r="F43" s="183" t="n">
        <v>46339</v>
      </c>
      <c r="G43" s="183" t="n">
        <v>46342</v>
      </c>
      <c r="H43" s="178">
        <f>NETWORKDAYS(F43,G43,Premissas!$B$10:$B$14)</f>
        <v/>
      </c>
      <c r="I43" s="184" t="n">
        <v>0.1</v>
      </c>
      <c r="J43" s="176">
        <f t="array" ref="J43">INDEX(Geral!$J$13:$J$20,MATCH(D43,Geral!$G$13:$G$20,0))*I43</f>
        <v/>
      </c>
      <c r="K43" s="178" t="n"/>
      <c r="L43" s="178" t="n"/>
      <c r="M43" s="185" t="inlineStr">
        <is>
          <t>Planejado</t>
        </is>
      </c>
      <c r="AF43" s="186" t="n"/>
      <c r="AG43" s="186" t="n"/>
    </row>
    <row r="44" ht="15" customHeight="1" s="189">
      <c r="A44" s="178" t="n">
        <v>34</v>
      </c>
      <c r="B44" s="188" t="inlineStr">
        <is>
          <t>Refinar requisitos e atualizar MRB (R04)</t>
        </is>
      </c>
      <c r="C44" s="178" t="inlineStr">
        <is>
          <t>R04</t>
        </is>
      </c>
      <c r="D44" s="178" t="inlineStr">
        <is>
          <t>Fase de Análise</t>
        </is>
      </c>
      <c r="E44" s="178" t="inlineStr">
        <is>
          <t>Documento</t>
        </is>
      </c>
      <c r="F44" s="183" t="n">
        <v>46339</v>
      </c>
      <c r="G44" s="183" t="n">
        <v>46339</v>
      </c>
      <c r="H44" s="178">
        <f>NETWORKDAYS(F44,G44,Premissas!$B$10:$B$14)</f>
        <v/>
      </c>
      <c r="I44" s="184" t="n">
        <v>0.1</v>
      </c>
      <c r="J44" s="176">
        <f t="array" ref="J44">INDEX(Geral!$J$13:$J$20,MATCH(D44,Geral!$G$13:$G$20,0))*I44</f>
        <v/>
      </c>
      <c r="K44" s="178" t="n"/>
      <c r="L44" s="178" t="n"/>
      <c r="M44" s="185" t="inlineStr">
        <is>
          <t>Planejado</t>
        </is>
      </c>
      <c r="AF44" s="186" t="n"/>
    </row>
    <row r="45" ht="15" customHeight="1" s="189">
      <c r="A45" s="178" t="n">
        <v>35</v>
      </c>
      <c r="B45" s="188" t="inlineStr">
        <is>
          <t>Implementar [RFC09] Seguir Campeonatos e Equipes</t>
        </is>
      </c>
      <c r="C45" s="178" t="inlineStr">
        <is>
          <t>R04</t>
        </is>
      </c>
      <c r="D45" s="178" t="inlineStr">
        <is>
          <t>Fase de Desenvolvimento</t>
        </is>
      </c>
      <c r="E45" s="178" t="inlineStr">
        <is>
          <t>CRUD</t>
        </is>
      </c>
      <c r="F45" s="183" t="n">
        <v>46342</v>
      </c>
      <c r="G45" s="183" t="n">
        <v>46344</v>
      </c>
      <c r="H45" s="178">
        <f>NETWORKDAYS(F45,G45,Premissas!$B$10:$B$14)</f>
        <v/>
      </c>
      <c r="I45" s="187">
        <f>Premissas!$C$5*K45/UC!$D$10</f>
        <v/>
      </c>
      <c r="J45" s="176">
        <f t="array" ref="J45">INDEX(Geral!$J$13:$J$20,MATCH(D45,Geral!$G$13:$G$20,0))*I45</f>
        <v/>
      </c>
      <c r="K45" s="178">
        <f t="array" ref="K45">INDEX(UC!$C$7:$C$9,MATCH(UC!$D$19,UC!$B$7:$B$9,0))</f>
        <v/>
      </c>
      <c r="L45" s="178" t="n"/>
      <c r="M45" s="185" t="inlineStr">
        <is>
          <t>Planejado</t>
        </is>
      </c>
      <c r="AG45" s="186" t="n"/>
      <c r="AH45" s="186" t="n"/>
      <c r="AI45" s="186" t="n"/>
    </row>
    <row r="46" ht="15" customHeight="1" s="189">
      <c r="A46" s="178" t="n">
        <v>36</v>
      </c>
      <c r="B46" s="188" t="inlineStr">
        <is>
          <t>Implementar [RFC10] Emitir Avisos de Eventos Próximos</t>
        </is>
      </c>
      <c r="C46" s="178" t="inlineStr">
        <is>
          <t>R04</t>
        </is>
      </c>
      <c r="D46" s="178" t="inlineStr">
        <is>
          <t>Fase de Desenvolvimento</t>
        </is>
      </c>
      <c r="E46" s="178" t="inlineStr">
        <is>
          <t>CRUD</t>
        </is>
      </c>
      <c r="F46" s="183" t="n">
        <v>46343</v>
      </c>
      <c r="G46" s="183" t="n">
        <v>46344</v>
      </c>
      <c r="H46" s="178">
        <f>NETWORKDAYS(F46,G46,Premissas!$B$10:$B$14)</f>
        <v/>
      </c>
      <c r="I46" s="187">
        <f>Premissas!$C$5*K46/UC!$D$10</f>
        <v/>
      </c>
      <c r="J46" s="176">
        <f t="array" ref="J46">INDEX(Geral!$J$13:$J$20,MATCH(D46,Geral!$G$13:$G$20,0))*I46</f>
        <v/>
      </c>
      <c r="K46" s="178">
        <f t="array" ref="K46">INDEX(UC!$C$7:$C$9,MATCH(UC!$D$20,UC!$B$7:$B$9,0))</f>
        <v/>
      </c>
      <c r="L46" s="178" t="n"/>
      <c r="M46" s="185" t="inlineStr">
        <is>
          <t>Planejado</t>
        </is>
      </c>
      <c r="AH46" s="186" t="n"/>
      <c r="AI46" s="186" t="n"/>
    </row>
    <row r="47" ht="15" customHeight="1" s="189">
      <c r="A47" s="178" t="n">
        <v>37</v>
      </c>
      <c r="B47" s="188" t="inlineStr">
        <is>
          <t>Testes com Selenium (regressão final) e registro de bugs - R04</t>
        </is>
      </c>
      <c r="C47" s="178" t="inlineStr">
        <is>
          <t>R04</t>
        </is>
      </c>
      <c r="D47" s="178" t="inlineStr">
        <is>
          <t>Fase de Desenvolvimento</t>
        </is>
      </c>
      <c r="E47" s="178" t="inlineStr">
        <is>
          <t>Testes</t>
        </is>
      </c>
      <c r="F47" s="183" t="n">
        <v>46344</v>
      </c>
      <c r="G47" s="183" t="n">
        <v>46345</v>
      </c>
      <c r="H47" s="178">
        <f>NETWORKDAYS(F47,G47,Premissas!$B$10:$B$14)</f>
        <v/>
      </c>
      <c r="I47" s="187">
        <f>Premissas!$C$6*L47/UC!$D$10</f>
        <v/>
      </c>
      <c r="J47" s="176">
        <f t="array" ref="J47">INDEX(Geral!$J$13:$J$20,MATCH(D47,Geral!$G$13:$G$20,0))*I47</f>
        <v/>
      </c>
      <c r="K47" s="178" t="n"/>
      <c r="L47" s="178">
        <f>SUMIFS($K$6:$K$80,$C$6:$C$80,C47)</f>
        <v/>
      </c>
      <c r="M47" s="185" t="inlineStr">
        <is>
          <t>Planejado</t>
        </is>
      </c>
      <c r="AI47" s="186" t="n"/>
      <c r="AJ47" s="186" t="n"/>
    </row>
    <row r="48" ht="15" customHeight="1" s="189">
      <c r="A48" s="178" t="n">
        <v>38</v>
      </c>
      <c r="B48" s="188" t="inlineStr">
        <is>
          <t>Atualizar cronograma com dados de execução e salvar baseline (SVN/GIT) - R04</t>
        </is>
      </c>
      <c r="C48" s="178" t="inlineStr">
        <is>
          <t>R04</t>
        </is>
      </c>
      <c r="D48" s="178" t="inlineStr">
        <is>
          <t>Processo de Monitoramento e Controle</t>
        </is>
      </c>
      <c r="E48" s="178" t="inlineStr">
        <is>
          <t>Gestão</t>
        </is>
      </c>
      <c r="F48" s="183" t="n">
        <v>46345</v>
      </c>
      <c r="G48" s="183" t="n">
        <v>46345</v>
      </c>
      <c r="H48" s="178">
        <f>NETWORKDAYS(F48,G48,Premissas!$B$10:$B$14)</f>
        <v/>
      </c>
      <c r="I48" s="184" t="n">
        <v>0.225</v>
      </c>
      <c r="J48" s="176">
        <f t="array" ref="J48">INDEX(Geral!$J$13:$J$20,MATCH(D48,Geral!$G$13:$G$20,0))*I48</f>
        <v/>
      </c>
      <c r="K48" s="178" t="n"/>
      <c r="L48" s="178" t="n"/>
      <c r="M48" s="185" t="inlineStr">
        <is>
          <t>Planejado</t>
        </is>
      </c>
      <c r="AJ48" s="186" t="n"/>
    </row>
    <row r="49" ht="15" customHeight="1" s="189">
      <c r="A49" s="178" t="n">
        <v>39</v>
      </c>
      <c r="B49" s="188" t="inlineStr">
        <is>
          <t>Controle de mudanças - R04</t>
        </is>
      </c>
      <c r="C49" s="178" t="inlineStr">
        <is>
          <t>R04</t>
        </is>
      </c>
      <c r="D49" s="178" t="inlineStr">
        <is>
          <t>Processo Controle de mudanças</t>
        </is>
      </c>
      <c r="E49" s="178" t="inlineStr">
        <is>
          <t>Gestão</t>
        </is>
      </c>
      <c r="F49" s="183" t="n">
        <v>46345</v>
      </c>
      <c r="G49" s="183" t="n">
        <v>46345</v>
      </c>
      <c r="H49" s="178">
        <f>NETWORKDAYS(F49,G49,Premissas!$B$10:$B$14)</f>
        <v/>
      </c>
      <c r="I49" s="184" t="n">
        <v>0.25</v>
      </c>
      <c r="J49" s="176">
        <f t="array" ref="J49">INDEX(Geral!$J$13:$J$20,MATCH(D49,Geral!$G$13:$G$20,0))*I49</f>
        <v/>
      </c>
      <c r="K49" s="178" t="n"/>
      <c r="L49" s="178" t="n"/>
      <c r="M49" s="185" t="inlineStr">
        <is>
          <t>Planejado</t>
        </is>
      </c>
      <c r="AJ49" s="186" t="n"/>
    </row>
    <row r="50" ht="15" customHeight="1" s="189">
      <c r="A50" s="178" t="n">
        <v>40</v>
      </c>
      <c r="B50" s="188" t="inlineStr">
        <is>
          <t>Relatório final e lições aprendidas</t>
        </is>
      </c>
      <c r="C50" s="178" t="inlineStr">
        <is>
          <t>R04</t>
        </is>
      </c>
      <c r="D50" s="178" t="inlineStr">
        <is>
          <t>Fase de Fechamento</t>
        </is>
      </c>
      <c r="E50" s="178" t="inlineStr">
        <is>
          <t>Gestão</t>
        </is>
      </c>
      <c r="F50" s="183" t="n">
        <v>46344</v>
      </c>
      <c r="G50" s="183" t="n">
        <v>46345</v>
      </c>
      <c r="H50" s="178">
        <f>NETWORKDAYS(F50,G50,Premissas!$B$10:$B$14)</f>
        <v/>
      </c>
      <c r="I50" s="184" t="n">
        <v>0.6</v>
      </c>
      <c r="J50" s="176">
        <f t="array" ref="J50">INDEX(Geral!$J$13:$J$20,MATCH(D50,Geral!$G$13:$G$20,0))*I50</f>
        <v/>
      </c>
      <c r="K50" s="178" t="n"/>
      <c r="L50" s="178" t="n"/>
      <c r="M50" s="185" t="inlineStr">
        <is>
          <t>Planejado</t>
        </is>
      </c>
      <c r="AI50" s="186" t="n"/>
      <c r="AJ50" s="186" t="n"/>
    </row>
    <row r="51" ht="15" customHeight="1" s="189">
      <c r="A51" s="178" t="n">
        <v>41</v>
      </c>
      <c r="B51" s="188" t="inlineStr">
        <is>
          <t>Encerramento: baseline final e termo de aceite</t>
        </is>
      </c>
      <c r="C51" s="178" t="inlineStr">
        <is>
          <t>R04</t>
        </is>
      </c>
      <c r="D51" s="178" t="inlineStr">
        <is>
          <t>Fase de Fechamento</t>
        </is>
      </c>
      <c r="E51" s="178" t="inlineStr">
        <is>
          <t>Gestão</t>
        </is>
      </c>
      <c r="F51" s="183" t="n">
        <v>46345</v>
      </c>
      <c r="G51" s="183" t="n">
        <v>46345</v>
      </c>
      <c r="H51" s="178">
        <f>NETWORKDAYS(F51,G51,Premissas!$B$10:$B$14)</f>
        <v/>
      </c>
      <c r="I51" s="184" t="n">
        <v>0.4</v>
      </c>
      <c r="J51" s="176">
        <f t="array" ref="J51">INDEX(Geral!$J$13:$J$20,MATCH(D51,Geral!$G$13:$G$20,0))*I51</f>
        <v/>
      </c>
      <c r="K51" s="178" t="n"/>
      <c r="L51" s="178" t="n"/>
      <c r="M51" s="185" t="inlineStr">
        <is>
          <t>Planejado</t>
        </is>
      </c>
      <c r="AJ51" s="186" t="n"/>
    </row>
    <row r="52" ht="15" customHeight="1" s="189">
      <c r="B52" s="110" t="inlineStr">
        <is>
          <t>Total</t>
        </is>
      </c>
      <c r="J52" s="169">
        <f>SUM(J6:J51)</f>
        <v/>
      </c>
    </row>
    <row r="53" ht="12.75" customHeight="1" s="189"/>
    <row r="54" ht="12.75" customHeight="1" s="189"/>
    <row r="55" ht="12.75" customHeight="1" s="189"/>
    <row r="56" ht="12.75" customHeight="1" s="189"/>
    <row r="57" ht="12.75" customHeight="1" s="189"/>
    <row r="58" ht="12.75" customHeight="1" s="189"/>
    <row r="59" ht="12.75" customHeight="1" s="189"/>
    <row r="60" ht="12.75" customHeight="1" s="189"/>
    <row r="61" ht="12.75" customHeight="1" s="189"/>
    <row r="62" ht="12.75" customHeight="1" s="189"/>
    <row r="63" ht="12.75" customHeight="1" s="189"/>
    <row r="64" ht="12.75" customHeight="1" s="189"/>
    <row r="65" ht="12.75" customHeight="1" s="189"/>
    <row r="66" ht="12.75" customHeight="1" s="189"/>
    <row r="67" ht="12.75" customHeight="1" s="189"/>
    <row r="68" ht="12.75" customHeight="1" s="189"/>
    <row r="69" ht="12.75" customHeight="1" s="189"/>
    <row r="70" ht="12.75" customHeight="1" s="189"/>
    <row r="71" ht="12.75" customHeight="1" s="189"/>
    <row r="72" ht="12.75" customHeight="1" s="189"/>
    <row r="73" ht="12.75" customHeight="1" s="189"/>
    <row r="74" ht="12.75" customHeight="1" s="189"/>
    <row r="75" ht="12.75" customHeight="1" s="189"/>
    <row r="76" ht="12.75" customHeight="1" s="189"/>
    <row r="77" ht="12.75" customHeight="1" s="189"/>
    <row r="78" ht="12.75" customHeight="1" s="189"/>
    <row r="79" ht="12.75" customHeight="1" s="189"/>
    <row r="80" ht="12.75" customHeight="1" s="189"/>
    <row r="81" ht="12.75" customHeight="1" s="189"/>
    <row r="82" ht="12.75" customHeight="1" s="189"/>
    <row r="83" ht="12.75" customHeight="1" s="189"/>
    <row r="84" ht="12.75" customHeight="1" s="189"/>
    <row r="85" ht="12.75" customHeight="1" s="189"/>
    <row r="86" ht="12.75" customHeight="1" s="189"/>
    <row r="87" ht="12.75" customHeight="1" s="189"/>
    <row r="88" ht="12.75" customHeight="1" s="189"/>
    <row r="89" ht="12.75" customHeight="1" s="189"/>
    <row r="90" ht="12.75" customHeight="1" s="189"/>
    <row r="91" ht="12.75" customHeight="1" s="189"/>
    <row r="92" ht="12.75" customHeight="1" s="189"/>
    <row r="93" ht="12.75" customHeight="1" s="189"/>
    <row r="94" ht="12.75" customHeight="1" s="189"/>
    <row r="95" ht="12.75" customHeight="1" s="189"/>
    <row r="96" ht="12.75" customHeight="1" s="189"/>
    <row r="97" ht="12.75" customHeight="1" s="189"/>
    <row r="98" ht="12.75" customHeight="1" s="189"/>
    <row r="99" ht="12.75" customHeight="1" s="189"/>
    <row r="100" ht="12.75" customHeight="1" s="189"/>
    <row r="101" ht="12.75" customHeight="1" s="189"/>
    <row r="102" ht="12.75" customHeight="1" s="189"/>
    <row r="103" ht="12.75" customHeight="1" s="189"/>
    <row r="104" ht="12.75" customHeight="1" s="189"/>
    <row r="105" ht="12.75" customHeight="1" s="189"/>
    <row r="106" ht="12.75" customHeight="1" s="189"/>
    <row r="107" ht="12.75" customHeight="1" s="189"/>
    <row r="108" ht="12.75" customHeight="1" s="189"/>
    <row r="109" ht="12.75" customHeight="1" s="189"/>
    <row r="110" ht="12.75" customHeight="1" s="189"/>
    <row r="111" ht="12.75" customHeight="1" s="189"/>
    <row r="112" ht="12.75" customHeight="1" s="189"/>
    <row r="113" ht="12.75" customHeight="1" s="189"/>
    <row r="114" ht="12.75" customHeight="1" s="189"/>
    <row r="115" ht="12.75" customHeight="1" s="189"/>
    <row r="116" ht="12.75" customHeight="1" s="189"/>
    <row r="117" ht="12.75" customHeight="1" s="189"/>
    <row r="118" ht="12.75" customHeight="1" s="189"/>
    <row r="119" ht="12.75" customHeight="1" s="189"/>
    <row r="120" ht="12.75" customHeight="1" s="189"/>
    <row r="121" ht="12.75" customHeight="1" s="189"/>
    <row r="122" ht="12.75" customHeight="1" s="189"/>
    <row r="123" ht="12.75" customHeight="1" s="189"/>
    <row r="124" ht="12.75" customHeight="1" s="189"/>
    <row r="125" ht="12.75" customHeight="1" s="189"/>
    <row r="126" ht="12.75" customHeight="1" s="189"/>
    <row r="127" ht="12.75" customHeight="1" s="189"/>
    <row r="128" ht="12.75" customHeight="1" s="189"/>
    <row r="129" ht="12.75" customHeight="1" s="189"/>
    <row r="130" ht="12.75" customHeight="1" s="189"/>
    <row r="131" ht="12.75" customHeight="1" s="189"/>
    <row r="132" ht="12.75" customHeight="1" s="189"/>
    <row r="133" ht="12.75" customHeight="1" s="189"/>
    <row r="134" ht="12.75" customHeight="1" s="189"/>
    <row r="135" ht="12.75" customHeight="1" s="189"/>
    <row r="136" ht="12.75" customHeight="1" s="189"/>
    <row r="137" ht="12.75" customHeight="1" s="189"/>
    <row r="138" ht="12.75" customHeight="1" s="189"/>
    <row r="139" ht="12.75" customHeight="1" s="189"/>
    <row r="140" ht="12.75" customHeight="1" s="189"/>
    <row r="141" ht="12.75" customHeight="1" s="189"/>
    <row r="142" ht="12.75" customHeight="1" s="189"/>
    <row r="143" ht="12.75" customHeight="1" s="189"/>
    <row r="144" ht="12.75" customHeight="1" s="189"/>
    <row r="145" ht="12.75" customHeight="1" s="189"/>
    <row r="146" ht="12.75" customHeight="1" s="189"/>
    <row r="147" ht="12.75" customHeight="1" s="189"/>
    <row r="148" ht="12.75" customHeight="1" s="189"/>
    <row r="149" ht="12.75" customHeight="1" s="189"/>
    <row r="150" ht="12.75" customHeight="1" s="189"/>
    <row r="151" ht="12.75" customHeight="1" s="189"/>
    <row r="152" ht="12.75" customHeight="1" s="189"/>
    <row r="153" ht="12.75" customHeight="1" s="189"/>
    <row r="154" ht="12.75" customHeight="1" s="189"/>
    <row r="155" ht="12.75" customHeight="1" s="189"/>
    <row r="156" ht="12.75" customHeight="1" s="189"/>
    <row r="157" ht="12.75" customHeight="1" s="189"/>
    <row r="158" ht="12.75" customHeight="1" s="189"/>
    <row r="159" ht="12.75" customHeight="1" s="189"/>
    <row r="160" ht="12.75" customHeight="1" s="189"/>
    <row r="161" ht="12.75" customHeight="1" s="189"/>
    <row r="162" ht="12.75" customHeight="1" s="189"/>
    <row r="163" ht="12.75" customHeight="1" s="189"/>
    <row r="164" ht="12.75" customHeight="1" s="189"/>
    <row r="165" ht="12.75" customHeight="1" s="189"/>
    <row r="166" ht="12.75" customHeight="1" s="189"/>
    <row r="167" ht="12.75" customHeight="1" s="189"/>
    <row r="168" ht="12.75" customHeight="1" s="189"/>
    <row r="169" ht="12.75" customHeight="1" s="189"/>
    <row r="170" ht="12.75" customHeight="1" s="189"/>
    <row r="171" ht="12.75" customHeight="1" s="189"/>
    <row r="172" ht="12.75" customHeight="1" s="189"/>
    <row r="173" ht="12.75" customHeight="1" s="189"/>
    <row r="174" ht="12.75" customHeight="1" s="189"/>
    <row r="175" ht="12.75" customHeight="1" s="189"/>
    <row r="176" ht="12.75" customHeight="1" s="189"/>
    <row r="177" ht="12.75" customHeight="1" s="189"/>
    <row r="178" ht="12.75" customHeight="1" s="189"/>
    <row r="179" ht="12.75" customHeight="1" s="189"/>
    <row r="180" ht="12.75" customHeight="1" s="189"/>
    <row r="181" ht="12.75" customHeight="1" s="189"/>
    <row r="182" ht="12.75" customHeight="1" s="189"/>
    <row r="183" ht="12.75" customHeight="1" s="189"/>
    <row r="184" ht="12.75" customHeight="1" s="189"/>
    <row r="185" ht="12.75" customHeight="1" s="189"/>
    <row r="186" ht="12.75" customHeight="1" s="189"/>
    <row r="187" ht="12.75" customHeight="1" s="189"/>
    <row r="188" ht="12.75" customHeight="1" s="189"/>
    <row r="189" ht="12.75" customHeight="1" s="189"/>
    <row r="190" ht="12.75" customHeight="1" s="189"/>
    <row r="191" ht="12.75" customHeight="1" s="189"/>
    <row r="192" ht="12.75" customHeight="1" s="189"/>
    <row r="193" ht="12.75" customHeight="1" s="189"/>
    <row r="194" ht="12.75" customHeight="1" s="189"/>
    <row r="195" ht="12.75" customHeight="1" s="189"/>
    <row r="196" ht="12.75" customHeight="1" s="189"/>
    <row r="197" ht="12.75" customHeight="1" s="189"/>
    <row r="198" ht="12.75" customHeight="1" s="189"/>
    <row r="199" ht="12.75" customHeight="1" s="189"/>
    <row r="200" ht="12.75" customHeight="1" s="189"/>
    <row r="201" ht="12.75" customHeight="1" s="189"/>
    <row r="202" ht="12.75" customHeight="1" s="189"/>
    <row r="203" ht="12.75" customHeight="1" s="189"/>
    <row r="204" ht="12.75" customHeight="1" s="189"/>
    <row r="205" ht="12.75" customHeight="1" s="189"/>
    <row r="206" ht="12.75" customHeight="1" s="189"/>
    <row r="207" ht="12.75" customHeight="1" s="189"/>
    <row r="208" ht="12.75" customHeight="1" s="189"/>
    <row r="209" ht="12.75" customHeight="1" s="189"/>
    <row r="210" ht="12.75" customHeight="1" s="189"/>
    <row r="211" ht="12.75" customHeight="1" s="189"/>
    <row r="212" ht="12.75" customHeight="1" s="189"/>
    <row r="213" ht="12.75" customHeight="1" s="189"/>
    <row r="214" ht="12.75" customHeight="1" s="189"/>
    <row r="215" ht="12.75" customHeight="1" s="189"/>
    <row r="216" ht="12.75" customHeight="1" s="189"/>
    <row r="217" ht="12.75" customHeight="1" s="189"/>
    <row r="218" ht="12.75" customHeight="1" s="189"/>
    <row r="219" ht="12.75" customHeight="1" s="189"/>
    <row r="220" ht="12.75" customHeight="1" s="189"/>
    <row r="221" ht="12.75" customHeight="1" s="189"/>
    <row r="222" ht="12.75" customHeight="1" s="189"/>
    <row r="223" ht="12.75" customHeight="1" s="189"/>
    <row r="224" ht="12.75" customHeight="1" s="189"/>
    <row r="225" ht="12.75" customHeight="1" s="189"/>
    <row r="226" ht="12.75" customHeight="1" s="189"/>
    <row r="227" ht="12.75" customHeight="1" s="189"/>
    <row r="228" ht="12.75" customHeight="1" s="189"/>
    <row r="229" ht="12.75" customHeight="1" s="189"/>
    <row r="230" ht="12.75" customHeight="1" s="189"/>
    <row r="231" ht="12.75" customHeight="1" s="189"/>
    <row r="232" ht="12.75" customHeight="1" s="189"/>
    <row r="233" ht="12.75" customHeight="1" s="189"/>
    <row r="234" ht="12.75" customHeight="1" s="189"/>
    <row r="235" ht="12.75" customHeight="1" s="189"/>
    <row r="236" ht="12.75" customHeight="1" s="189"/>
    <row r="237" ht="12.75" customHeight="1" s="189"/>
    <row r="238" ht="12.75" customHeight="1" s="189"/>
    <row r="239" ht="12.75" customHeight="1" s="189"/>
    <row r="240" ht="12.75" customHeight="1" s="189"/>
    <row r="241" ht="12.75" customHeight="1" s="189"/>
    <row r="242" ht="12.75" customHeight="1" s="189"/>
    <row r="243" ht="12.75" customHeight="1" s="189"/>
    <row r="244" ht="12.75" customHeight="1" s="189"/>
    <row r="245" ht="12.75" customHeight="1" s="189"/>
    <row r="246" ht="12.75" customHeight="1" s="189"/>
    <row r="247" ht="12.75" customHeight="1" s="189"/>
    <row r="248" ht="12.75" customHeight="1" s="189"/>
    <row r="249" ht="12.75" customHeight="1" s="189"/>
    <row r="250" ht="12.75" customHeight="1" s="189"/>
    <row r="251" ht="12.75" customHeight="1" s="189"/>
    <row r="252" ht="12.75" customHeight="1" s="189"/>
    <row r="253" ht="12.75" customHeight="1" s="189"/>
    <row r="254" ht="12.75" customHeight="1" s="189"/>
    <row r="255" ht="12.75" customHeight="1" s="189"/>
    <row r="256" ht="12.75" customHeight="1" s="189"/>
    <row r="257" ht="12.75" customHeight="1" s="189"/>
    <row r="258" ht="12.75" customHeight="1" s="189"/>
    <row r="259" ht="12.75" customHeight="1" s="189"/>
    <row r="260" ht="12.75" customHeight="1" s="189"/>
    <row r="261" ht="12.75" customHeight="1" s="189"/>
    <row r="262" ht="12.75" customHeight="1" s="189"/>
    <row r="263" ht="12.75" customHeight="1" s="189"/>
    <row r="264" ht="12.75" customHeight="1" s="189"/>
    <row r="265" ht="12.75" customHeight="1" s="189"/>
    <row r="266" ht="12.75" customHeight="1" s="189"/>
    <row r="267" ht="12.75" customHeight="1" s="189"/>
    <row r="268" ht="12.75" customHeight="1" s="189"/>
    <row r="269" ht="12.75" customHeight="1" s="189"/>
    <row r="270" ht="12.75" customHeight="1" s="189"/>
    <row r="271" ht="12.75" customHeight="1" s="189"/>
    <row r="272" ht="12.75" customHeight="1" s="189"/>
    <row r="273" ht="12.75" customHeight="1" s="189"/>
    <row r="274" ht="12.75" customHeight="1" s="189"/>
    <row r="275" ht="12.75" customHeight="1" s="189"/>
    <row r="276" ht="12.75" customHeight="1" s="189"/>
    <row r="277" ht="12.75" customHeight="1" s="189"/>
    <row r="278" ht="12.75" customHeight="1" s="189"/>
    <row r="279" ht="12.75" customHeight="1" s="189"/>
    <row r="280" ht="12.75" customHeight="1" s="189"/>
    <row r="281" ht="12.75" customHeight="1" s="189"/>
    <row r="282" ht="12.75" customHeight="1" s="189"/>
    <row r="283" ht="12.75" customHeight="1" s="189"/>
    <row r="284" ht="12.75" customHeight="1" s="189"/>
    <row r="285" ht="12.75" customHeight="1" s="189"/>
    <row r="286" ht="12.75" customHeight="1" s="189"/>
    <row r="287" ht="12.75" customHeight="1" s="189"/>
    <row r="288" ht="12.75" customHeight="1" s="189"/>
    <row r="289" ht="12.75" customHeight="1" s="189"/>
    <row r="290" ht="12.75" customHeight="1" s="189"/>
    <row r="291" ht="12.75" customHeight="1" s="189"/>
    <row r="292" ht="12.75" customHeight="1" s="189"/>
    <row r="293" ht="12.75" customHeight="1" s="189"/>
    <row r="294" ht="12.75" customHeight="1" s="189"/>
    <row r="295" ht="12.75" customHeight="1" s="189"/>
    <row r="296" ht="12.75" customHeight="1" s="189"/>
    <row r="297" ht="12.75" customHeight="1" s="189"/>
    <row r="298" ht="12.75" customHeight="1" s="189"/>
    <row r="299" ht="12.75" customHeight="1" s="189"/>
    <row r="300" ht="12.75" customHeight="1" s="189"/>
    <row r="301" ht="12.75" customHeight="1" s="189"/>
    <row r="302" ht="12.75" customHeight="1" s="189"/>
    <row r="303" ht="12.75" customHeight="1" s="189"/>
    <row r="304" ht="12.75" customHeight="1" s="189"/>
    <row r="305" ht="12.75" customHeight="1" s="189"/>
    <row r="306" ht="12.75" customHeight="1" s="189"/>
    <row r="307" ht="12.75" customHeight="1" s="189"/>
    <row r="308" ht="12.75" customHeight="1" s="189"/>
    <row r="309" ht="12.75" customHeight="1" s="189"/>
    <row r="310" ht="12.75" customHeight="1" s="189"/>
    <row r="311" ht="12.75" customHeight="1" s="189"/>
    <row r="312" ht="12.75" customHeight="1" s="189"/>
    <row r="313" ht="12.75" customHeight="1" s="189"/>
    <row r="314" ht="12.75" customHeight="1" s="189"/>
    <row r="315" ht="12.75" customHeight="1" s="189"/>
    <row r="316" ht="12.75" customHeight="1" s="189"/>
    <row r="317" ht="12.75" customHeight="1" s="189"/>
    <row r="318" ht="12.75" customHeight="1" s="189"/>
    <row r="319" ht="12.75" customHeight="1" s="189"/>
    <row r="320" ht="12.75" customHeight="1" s="189"/>
    <row r="321" ht="12.75" customHeight="1" s="189"/>
    <row r="322" ht="12.75" customHeight="1" s="189"/>
    <row r="323" ht="12.75" customHeight="1" s="189"/>
    <row r="324" ht="12.75" customHeight="1" s="189"/>
    <row r="325" ht="12.75" customHeight="1" s="189"/>
    <row r="326" ht="12.75" customHeight="1" s="189"/>
    <row r="327" ht="12.75" customHeight="1" s="189"/>
    <row r="328" ht="12.75" customHeight="1" s="189"/>
    <row r="329" ht="12.75" customHeight="1" s="189"/>
    <row r="330" ht="12.75" customHeight="1" s="189"/>
    <row r="331" ht="12.75" customHeight="1" s="189"/>
    <row r="332" ht="12.75" customHeight="1" s="189"/>
    <row r="333" ht="12.75" customHeight="1" s="189"/>
    <row r="334" ht="12.75" customHeight="1" s="189"/>
    <row r="335" ht="12.75" customHeight="1" s="189"/>
    <row r="336" ht="12.75" customHeight="1" s="189"/>
    <row r="337" ht="12.75" customHeight="1" s="189"/>
    <row r="338" ht="12.75" customHeight="1" s="189"/>
    <row r="339" ht="12.75" customHeight="1" s="189"/>
    <row r="340" ht="12.75" customHeight="1" s="189"/>
    <row r="341" ht="12.75" customHeight="1" s="189"/>
    <row r="342" ht="12.75" customHeight="1" s="189"/>
    <row r="343" ht="12.75" customHeight="1" s="189"/>
    <row r="344" ht="12.75" customHeight="1" s="189"/>
    <row r="345" ht="12.75" customHeight="1" s="189"/>
    <row r="346" ht="12.75" customHeight="1" s="189"/>
    <row r="347" ht="12.75" customHeight="1" s="189"/>
    <row r="348" ht="12.75" customHeight="1" s="189"/>
    <row r="349" ht="12.75" customHeight="1" s="189"/>
    <row r="350" ht="12.75" customHeight="1" s="189"/>
    <row r="351" ht="12.75" customHeight="1" s="189"/>
    <row r="352" ht="12.75" customHeight="1" s="189"/>
    <row r="353" ht="12.75" customHeight="1" s="189"/>
    <row r="354" ht="12.75" customHeight="1" s="189"/>
    <row r="355" ht="12.75" customHeight="1" s="189"/>
    <row r="356" ht="12.75" customHeight="1" s="189"/>
    <row r="357" ht="12.75" customHeight="1" s="189"/>
    <row r="358" ht="12.75" customHeight="1" s="189"/>
    <row r="359" ht="12.75" customHeight="1" s="189"/>
    <row r="360" ht="12.75" customHeight="1" s="189"/>
    <row r="361" ht="12.75" customHeight="1" s="189"/>
    <row r="362" ht="12.75" customHeight="1" s="189"/>
    <row r="363" ht="12.75" customHeight="1" s="189"/>
    <row r="364" ht="12.75" customHeight="1" s="189"/>
    <row r="365" ht="12.75" customHeight="1" s="189"/>
    <row r="366" ht="12.75" customHeight="1" s="189"/>
    <row r="367" ht="12.75" customHeight="1" s="189"/>
    <row r="368" ht="12.75" customHeight="1" s="189"/>
    <row r="369" ht="12.75" customHeight="1" s="189"/>
    <row r="370" ht="12.75" customHeight="1" s="189"/>
    <row r="371" ht="12.75" customHeight="1" s="189"/>
    <row r="372" ht="12.75" customHeight="1" s="189"/>
    <row r="373" ht="12.75" customHeight="1" s="189"/>
    <row r="374" ht="12.75" customHeight="1" s="189"/>
    <row r="375" ht="12.75" customHeight="1" s="189"/>
    <row r="376" ht="12.75" customHeight="1" s="189"/>
    <row r="377" ht="12.75" customHeight="1" s="189"/>
    <row r="378" ht="12.75" customHeight="1" s="189"/>
    <row r="379" ht="12.75" customHeight="1" s="189"/>
    <row r="380" ht="12.75" customHeight="1" s="189"/>
    <row r="381" ht="12.75" customHeight="1" s="189"/>
    <row r="382" ht="12.75" customHeight="1" s="189"/>
    <row r="383" ht="12.75" customHeight="1" s="189"/>
    <row r="384" ht="12.75" customHeight="1" s="189"/>
    <row r="385" ht="12.75" customHeight="1" s="189"/>
    <row r="386" ht="12.75" customHeight="1" s="189"/>
    <row r="387" ht="12.75" customHeight="1" s="189"/>
    <row r="388" ht="12.75" customHeight="1" s="189"/>
    <row r="389" ht="12.75" customHeight="1" s="189"/>
    <row r="390" ht="12.75" customHeight="1" s="189"/>
    <row r="391" ht="12.75" customHeight="1" s="189"/>
    <row r="392" ht="12.75" customHeight="1" s="189"/>
    <row r="393" ht="12.75" customHeight="1" s="189"/>
    <row r="394" ht="12.75" customHeight="1" s="189"/>
    <row r="395" ht="12.75" customHeight="1" s="189"/>
    <row r="396" ht="12.75" customHeight="1" s="189"/>
    <row r="397" ht="12.75" customHeight="1" s="189"/>
    <row r="398" ht="12.75" customHeight="1" s="189"/>
    <row r="399" ht="12.75" customHeight="1" s="189"/>
    <row r="400" ht="12.75" customHeight="1" s="189"/>
    <row r="401" ht="12.75" customHeight="1" s="189"/>
    <row r="402" ht="12.75" customHeight="1" s="189"/>
    <row r="403" ht="12.75" customHeight="1" s="189"/>
    <row r="404" ht="12.75" customHeight="1" s="189"/>
    <row r="405" ht="12.75" customHeight="1" s="189"/>
    <row r="406" ht="12.75" customHeight="1" s="189"/>
    <row r="407" ht="12.75" customHeight="1" s="189"/>
    <row r="408" ht="12.75" customHeight="1" s="189"/>
    <row r="409" ht="12.75" customHeight="1" s="189"/>
    <row r="410" ht="12.75" customHeight="1" s="189"/>
    <row r="411" ht="12.75" customHeight="1" s="189"/>
    <row r="412" ht="12.75" customHeight="1" s="189"/>
    <row r="413" ht="12.75" customHeight="1" s="189"/>
    <row r="414" ht="12.75" customHeight="1" s="189"/>
    <row r="415" ht="12.75" customHeight="1" s="189"/>
    <row r="416" ht="12.75" customHeight="1" s="189"/>
    <row r="417" ht="12.75" customHeight="1" s="189"/>
    <row r="418" ht="12.75" customHeight="1" s="189"/>
    <row r="419" ht="12.75" customHeight="1" s="189"/>
    <row r="420" ht="12.75" customHeight="1" s="189"/>
    <row r="421" ht="12.75" customHeight="1" s="189"/>
    <row r="422" ht="12.75" customHeight="1" s="189"/>
    <row r="423" ht="12.75" customHeight="1" s="189"/>
    <row r="424" ht="12.75" customHeight="1" s="189"/>
    <row r="425" ht="12.75" customHeight="1" s="189"/>
    <row r="426" ht="12.75" customHeight="1" s="189"/>
    <row r="427" ht="12.75" customHeight="1" s="189"/>
    <row r="428" ht="12.75" customHeight="1" s="189"/>
    <row r="429" ht="12.75" customHeight="1" s="189"/>
    <row r="430" ht="12.75" customHeight="1" s="189"/>
    <row r="431" ht="12.75" customHeight="1" s="189"/>
    <row r="432" ht="12.75" customHeight="1" s="189"/>
    <row r="433" ht="12.75" customHeight="1" s="189"/>
    <row r="434" ht="12.75" customHeight="1" s="189"/>
    <row r="435" ht="12.75" customHeight="1" s="189"/>
    <row r="436" ht="12.75" customHeight="1" s="189"/>
    <row r="437" ht="12.75" customHeight="1" s="189"/>
    <row r="438" ht="12.75" customHeight="1" s="189"/>
    <row r="439" ht="12.75" customHeight="1" s="189"/>
    <row r="440" ht="12.75" customHeight="1" s="189"/>
    <row r="441" ht="12.75" customHeight="1" s="189"/>
    <row r="442" ht="12.75" customHeight="1" s="189"/>
    <row r="443" ht="12.75" customHeight="1" s="189"/>
    <row r="444" ht="12.75" customHeight="1" s="189"/>
    <row r="445" ht="12.75" customHeight="1" s="189"/>
    <row r="446" ht="12.75" customHeight="1" s="189"/>
    <row r="447" ht="12.75" customHeight="1" s="189"/>
    <row r="448" ht="12.75" customHeight="1" s="189"/>
    <row r="449" ht="12.75" customHeight="1" s="189"/>
    <row r="450" ht="12.75" customHeight="1" s="189"/>
    <row r="451" ht="12.75" customHeight="1" s="189"/>
    <row r="452" ht="12.75" customHeight="1" s="189"/>
    <row r="453" ht="12.75" customHeight="1" s="189"/>
    <row r="454" ht="12.75" customHeight="1" s="189"/>
    <row r="455" ht="12.75" customHeight="1" s="189"/>
    <row r="456" ht="12.75" customHeight="1" s="189"/>
    <row r="457" ht="12.75" customHeight="1" s="189"/>
    <row r="458" ht="12.75" customHeight="1" s="189"/>
    <row r="459" ht="12.75" customHeight="1" s="189"/>
    <row r="460" ht="12.75" customHeight="1" s="189"/>
    <row r="461" ht="12.75" customHeight="1" s="189"/>
    <row r="462" ht="12.75" customHeight="1" s="189"/>
    <row r="463" ht="12.75" customHeight="1" s="189"/>
    <row r="464" ht="12.75" customHeight="1" s="189"/>
    <row r="465" ht="12.75" customHeight="1" s="189"/>
    <row r="466" ht="12.75" customHeight="1" s="189"/>
    <row r="467" ht="12.75" customHeight="1" s="189"/>
    <row r="468" ht="12.75" customHeight="1" s="189"/>
    <row r="469" ht="12.75" customHeight="1" s="189"/>
    <row r="470" ht="12.75" customHeight="1" s="189"/>
    <row r="471" ht="12.75" customHeight="1" s="189"/>
    <row r="472" ht="12.75" customHeight="1" s="189"/>
    <row r="473" ht="12.75" customHeight="1" s="189"/>
    <row r="474" ht="12.75" customHeight="1" s="189"/>
    <row r="475" ht="12.75" customHeight="1" s="189"/>
    <row r="476" ht="12.75" customHeight="1" s="189"/>
    <row r="477" ht="12.75" customHeight="1" s="189"/>
    <row r="478" ht="12.75" customHeight="1" s="189"/>
    <row r="479" ht="12.75" customHeight="1" s="189"/>
    <row r="480" ht="12.75" customHeight="1" s="189"/>
    <row r="481" ht="12.75" customHeight="1" s="189"/>
    <row r="482" ht="12.75" customHeight="1" s="189"/>
    <row r="483" ht="12.75" customHeight="1" s="189"/>
    <row r="484" ht="12.75" customHeight="1" s="189"/>
    <row r="485" ht="12.75" customHeight="1" s="189"/>
    <row r="486" ht="12.75" customHeight="1" s="189"/>
    <row r="487" ht="12.75" customHeight="1" s="189"/>
    <row r="488" ht="12.75" customHeight="1" s="189"/>
    <row r="489" ht="12.75" customHeight="1" s="189"/>
    <row r="490" ht="12.75" customHeight="1" s="189"/>
    <row r="491" ht="12.75" customHeight="1" s="189"/>
    <row r="492" ht="12.75" customHeight="1" s="189"/>
    <row r="493" ht="12.75" customHeight="1" s="189"/>
    <row r="494" ht="12.75" customHeight="1" s="189"/>
    <row r="495" ht="12.75" customHeight="1" s="189"/>
    <row r="496" ht="12.75" customHeight="1" s="189"/>
    <row r="497" ht="12.75" customHeight="1" s="189"/>
    <row r="498" ht="12.75" customHeight="1" s="189"/>
    <row r="499" ht="12.75" customHeight="1" s="189"/>
    <row r="500" ht="12.75" customHeight="1" s="189"/>
    <row r="501" ht="12.75" customHeight="1" s="189"/>
    <row r="502" ht="12.75" customHeight="1" s="189"/>
    <row r="503" ht="12.75" customHeight="1" s="189"/>
    <row r="504" ht="12.75" customHeight="1" s="189"/>
    <row r="505" ht="12.75" customHeight="1" s="189"/>
    <row r="506" ht="12.75" customHeight="1" s="189"/>
    <row r="507" ht="12.75" customHeight="1" s="189"/>
    <row r="508" ht="12.75" customHeight="1" s="189"/>
    <row r="509" ht="12.75" customHeight="1" s="189"/>
    <row r="510" ht="12.75" customHeight="1" s="189"/>
    <row r="511" ht="12.75" customHeight="1" s="189"/>
    <row r="512" ht="12.75" customHeight="1" s="189"/>
    <row r="513" ht="12.75" customHeight="1" s="189"/>
    <row r="514" ht="12.75" customHeight="1" s="189"/>
    <row r="515" ht="12.75" customHeight="1" s="189"/>
    <row r="516" ht="12.75" customHeight="1" s="189"/>
    <row r="517" ht="12.75" customHeight="1" s="189"/>
    <row r="518" ht="12.75" customHeight="1" s="189"/>
    <row r="519" ht="12.75" customHeight="1" s="189"/>
    <row r="520" ht="12.75" customHeight="1" s="189"/>
    <row r="521" ht="12.75" customHeight="1" s="189"/>
    <row r="522" ht="12.75" customHeight="1" s="189"/>
    <row r="523" ht="12.75" customHeight="1" s="189"/>
    <row r="524" ht="12.75" customHeight="1" s="189"/>
    <row r="525" ht="12.75" customHeight="1" s="189"/>
    <row r="526" ht="12.75" customHeight="1" s="189"/>
    <row r="527" ht="12.75" customHeight="1" s="189"/>
    <row r="528" ht="12.75" customHeight="1" s="189"/>
    <row r="529" ht="12.75" customHeight="1" s="189"/>
    <row r="530" ht="12.75" customHeight="1" s="189"/>
    <row r="531" ht="12.75" customHeight="1" s="189"/>
    <row r="532" ht="12.75" customHeight="1" s="189"/>
    <row r="533" ht="12.75" customHeight="1" s="189"/>
    <row r="534" ht="12.75" customHeight="1" s="189"/>
    <row r="535" ht="12.75" customHeight="1" s="189"/>
    <row r="536" ht="12.75" customHeight="1" s="189"/>
    <row r="537" ht="12.75" customHeight="1" s="189"/>
    <row r="538" ht="12.75" customHeight="1" s="189"/>
    <row r="539" ht="12.75" customHeight="1" s="189"/>
    <row r="540" ht="12.75" customHeight="1" s="189"/>
    <row r="541" ht="12.75" customHeight="1" s="189"/>
    <row r="542" ht="12.75" customHeight="1" s="189"/>
    <row r="543" ht="12.75" customHeight="1" s="189"/>
    <row r="544" ht="12.75" customHeight="1" s="189"/>
    <row r="545" ht="12.75" customHeight="1" s="189"/>
    <row r="546" ht="12.75" customHeight="1" s="189"/>
    <row r="547" ht="12.75" customHeight="1" s="189"/>
    <row r="548" ht="12.75" customHeight="1" s="189"/>
    <row r="549" ht="12.75" customHeight="1" s="189"/>
    <row r="550" ht="12.75" customHeight="1" s="189"/>
    <row r="551" ht="12.75" customHeight="1" s="189"/>
    <row r="552" ht="12.75" customHeight="1" s="189"/>
    <row r="553" ht="12.75" customHeight="1" s="189"/>
    <row r="554" ht="12.75" customHeight="1" s="189"/>
    <row r="555" ht="12.75" customHeight="1" s="189"/>
    <row r="556" ht="12.75" customHeight="1" s="189"/>
    <row r="557" ht="12.75" customHeight="1" s="189"/>
    <row r="558" ht="12.75" customHeight="1" s="189"/>
    <row r="559" ht="12.75" customHeight="1" s="189"/>
    <row r="560" ht="12.75" customHeight="1" s="189"/>
    <row r="561" ht="12.75" customHeight="1" s="189"/>
    <row r="562" ht="12.75" customHeight="1" s="189"/>
    <row r="563" ht="12.75" customHeight="1" s="189"/>
    <row r="564" ht="12.75" customHeight="1" s="189"/>
    <row r="565" ht="12.75" customHeight="1" s="189"/>
    <row r="566" ht="12.75" customHeight="1" s="189"/>
    <row r="567" ht="12.75" customHeight="1" s="189"/>
    <row r="568" ht="12.75" customHeight="1" s="189"/>
    <row r="569" ht="12.75" customHeight="1" s="189"/>
    <row r="570" ht="12.75" customHeight="1" s="189"/>
    <row r="571" ht="12.75" customHeight="1" s="189"/>
    <row r="572" ht="12.75" customHeight="1" s="189"/>
    <row r="573" ht="12.75" customHeight="1" s="189"/>
    <row r="574" ht="12.75" customHeight="1" s="189"/>
    <row r="575" ht="12.75" customHeight="1" s="189"/>
    <row r="576" ht="12.75" customHeight="1" s="189"/>
    <row r="577" ht="12.75" customHeight="1" s="189"/>
    <row r="578" ht="12.75" customHeight="1" s="189"/>
    <row r="579" ht="12.75" customHeight="1" s="189"/>
    <row r="580" ht="12.75" customHeight="1" s="189"/>
    <row r="581" ht="12.75" customHeight="1" s="189"/>
    <row r="582" ht="12.75" customHeight="1" s="189"/>
    <row r="583" ht="12.75" customHeight="1" s="189"/>
    <row r="584" ht="12.75" customHeight="1" s="189"/>
    <row r="585" ht="12.75" customHeight="1" s="189"/>
    <row r="586" ht="12.75" customHeight="1" s="189"/>
    <row r="587" ht="12.75" customHeight="1" s="189"/>
    <row r="588" ht="12.75" customHeight="1" s="189"/>
    <row r="589" ht="12.75" customHeight="1" s="189"/>
    <row r="590" ht="12.75" customHeight="1" s="189"/>
    <row r="591" ht="12.75" customHeight="1" s="189"/>
    <row r="592" ht="12.75" customHeight="1" s="189"/>
    <row r="593" ht="12.75" customHeight="1" s="189"/>
    <row r="594" ht="12.75" customHeight="1" s="189"/>
    <row r="595" ht="12.75" customHeight="1" s="189"/>
    <row r="596" ht="12.75" customHeight="1" s="189"/>
    <row r="597" ht="12.75" customHeight="1" s="189"/>
    <row r="598" ht="12.75" customHeight="1" s="189"/>
    <row r="599" ht="12.75" customHeight="1" s="189"/>
    <row r="600" ht="12.75" customHeight="1" s="189"/>
    <row r="601" ht="12.75" customHeight="1" s="189"/>
    <row r="602" ht="12.75" customHeight="1" s="189"/>
    <row r="603" ht="12.75" customHeight="1" s="189"/>
    <row r="604" ht="12.75" customHeight="1" s="189"/>
    <row r="605" ht="12.75" customHeight="1" s="189"/>
    <row r="606" ht="12.75" customHeight="1" s="189"/>
    <row r="607" ht="12.75" customHeight="1" s="189"/>
    <row r="608" ht="12.75" customHeight="1" s="189"/>
    <row r="609" ht="12.75" customHeight="1" s="189"/>
    <row r="610" ht="12.75" customHeight="1" s="189"/>
    <row r="611" ht="12.75" customHeight="1" s="189"/>
    <row r="612" ht="12.75" customHeight="1" s="189"/>
    <row r="613" ht="12.75" customHeight="1" s="189"/>
    <row r="614" ht="12.75" customHeight="1" s="189"/>
    <row r="615" ht="12.75" customHeight="1" s="189"/>
    <row r="616" ht="12.75" customHeight="1" s="189"/>
    <row r="617" ht="12.75" customHeight="1" s="189"/>
    <row r="618" ht="12.75" customHeight="1" s="189"/>
    <row r="619" ht="12.75" customHeight="1" s="189"/>
    <row r="620" ht="12.75" customHeight="1" s="189"/>
    <row r="621" ht="12.75" customHeight="1" s="189"/>
    <row r="622" ht="12.75" customHeight="1" s="189"/>
    <row r="623" ht="12.75" customHeight="1" s="189"/>
    <row r="624" ht="12.75" customHeight="1" s="189"/>
    <row r="625" ht="12.75" customHeight="1" s="189"/>
    <row r="626" ht="12.75" customHeight="1" s="189"/>
    <row r="627" ht="12.75" customHeight="1" s="189"/>
    <row r="628" ht="12.75" customHeight="1" s="189"/>
    <row r="629" ht="12.75" customHeight="1" s="189"/>
    <row r="630" ht="12.75" customHeight="1" s="189"/>
    <row r="631" ht="12.75" customHeight="1" s="189"/>
    <row r="632" ht="12.75" customHeight="1" s="189"/>
    <row r="633" ht="12.75" customHeight="1" s="189"/>
    <row r="634" ht="12.75" customHeight="1" s="189"/>
    <row r="635" ht="12.75" customHeight="1" s="189"/>
    <row r="636" ht="12.75" customHeight="1" s="189"/>
    <row r="637" ht="12.75" customHeight="1" s="189"/>
    <row r="638" ht="12.75" customHeight="1" s="189"/>
    <row r="639" ht="12.75" customHeight="1" s="189"/>
    <row r="640" ht="12.75" customHeight="1" s="189"/>
    <row r="641" ht="12.75" customHeight="1" s="189"/>
    <row r="642" ht="12.75" customHeight="1" s="189"/>
    <row r="643" ht="12.75" customHeight="1" s="189"/>
    <row r="644" ht="12.75" customHeight="1" s="189"/>
    <row r="645" ht="12.75" customHeight="1" s="189"/>
    <row r="646" ht="12.75" customHeight="1" s="189"/>
    <row r="647" ht="12.75" customHeight="1" s="189"/>
    <row r="648" ht="12.75" customHeight="1" s="189"/>
    <row r="649" ht="12.75" customHeight="1" s="189"/>
    <row r="650" ht="12.75" customHeight="1" s="189"/>
    <row r="651" ht="12.75" customHeight="1" s="189"/>
    <row r="652" ht="12.75" customHeight="1" s="189"/>
    <row r="653" ht="12.75" customHeight="1" s="189"/>
    <row r="654" ht="12.75" customHeight="1" s="189"/>
    <row r="655" ht="12.75" customHeight="1" s="189"/>
    <row r="656" ht="12.75" customHeight="1" s="189"/>
    <row r="657" ht="12.75" customHeight="1" s="189"/>
    <row r="658" ht="12.75" customHeight="1" s="189"/>
    <row r="659" ht="12.75" customHeight="1" s="189"/>
    <row r="660" ht="12.75" customHeight="1" s="189"/>
    <row r="661" ht="12.75" customHeight="1" s="189"/>
    <row r="662" ht="12.75" customHeight="1" s="189"/>
    <row r="663" ht="12.75" customHeight="1" s="189"/>
    <row r="664" ht="12.75" customHeight="1" s="189"/>
    <row r="665" ht="12.75" customHeight="1" s="189"/>
    <row r="666" ht="12.75" customHeight="1" s="189"/>
    <row r="667" ht="12.75" customHeight="1" s="189"/>
    <row r="668" ht="12.75" customHeight="1" s="189"/>
    <row r="669" ht="12.75" customHeight="1" s="189"/>
    <row r="670" ht="12.75" customHeight="1" s="189"/>
    <row r="671" ht="12.75" customHeight="1" s="189"/>
    <row r="672" ht="12.75" customHeight="1" s="189"/>
    <row r="673" ht="12.75" customHeight="1" s="189"/>
    <row r="674" ht="12.75" customHeight="1" s="189"/>
    <row r="675" ht="12.75" customHeight="1" s="189"/>
    <row r="676" ht="12.75" customHeight="1" s="189"/>
    <row r="677" ht="12.75" customHeight="1" s="189"/>
    <row r="678" ht="12.75" customHeight="1" s="189"/>
    <row r="679" ht="12.75" customHeight="1" s="189"/>
    <row r="680" ht="12.75" customHeight="1" s="189"/>
    <row r="681" ht="12.75" customHeight="1" s="189"/>
    <row r="682" ht="12.75" customHeight="1" s="189"/>
    <row r="683" ht="12.75" customHeight="1" s="189"/>
    <row r="684" ht="12.75" customHeight="1" s="189"/>
    <row r="685" ht="12.75" customHeight="1" s="189"/>
    <row r="686" ht="12.75" customHeight="1" s="189"/>
    <row r="687" ht="12.75" customHeight="1" s="189"/>
    <row r="688" ht="12.75" customHeight="1" s="189"/>
    <row r="689" ht="12.75" customHeight="1" s="189"/>
    <row r="690" ht="12.75" customHeight="1" s="189"/>
    <row r="691" ht="12.75" customHeight="1" s="189"/>
    <row r="692" ht="12.75" customHeight="1" s="189"/>
    <row r="693" ht="12.75" customHeight="1" s="189"/>
    <row r="694" ht="12.75" customHeight="1" s="189"/>
    <row r="695" ht="12.75" customHeight="1" s="189"/>
    <row r="696" ht="12.75" customHeight="1" s="189"/>
    <row r="697" ht="12.75" customHeight="1" s="189"/>
    <row r="698" ht="12.75" customHeight="1" s="189"/>
    <row r="699" ht="12.75" customHeight="1" s="189"/>
    <row r="700" ht="12.75" customHeight="1" s="189"/>
    <row r="701" ht="12.75" customHeight="1" s="189"/>
    <row r="702" ht="12.75" customHeight="1" s="189"/>
    <row r="703" ht="12.75" customHeight="1" s="189"/>
    <row r="704" ht="12.75" customHeight="1" s="189"/>
    <row r="705" ht="12.75" customHeight="1" s="189"/>
    <row r="706" ht="12.75" customHeight="1" s="189"/>
    <row r="707" ht="12.75" customHeight="1" s="189"/>
    <row r="708" ht="12.75" customHeight="1" s="189"/>
    <row r="709" ht="12.75" customHeight="1" s="189"/>
    <row r="710" ht="12.75" customHeight="1" s="189"/>
    <row r="711" ht="12.75" customHeight="1" s="189"/>
    <row r="712" ht="12.75" customHeight="1" s="189"/>
    <row r="713" ht="12.75" customHeight="1" s="189"/>
    <row r="714" ht="12.75" customHeight="1" s="189"/>
    <row r="715" ht="12.75" customHeight="1" s="189"/>
    <row r="716" ht="12.75" customHeight="1" s="189"/>
    <row r="717" ht="12.75" customHeight="1" s="189"/>
    <row r="718" ht="12.75" customHeight="1" s="189"/>
    <row r="719" ht="12.75" customHeight="1" s="189"/>
    <row r="720" ht="12.75" customHeight="1" s="189"/>
    <row r="721" ht="12.75" customHeight="1" s="189"/>
    <row r="722" ht="12.75" customHeight="1" s="189"/>
    <row r="723" ht="12.75" customHeight="1" s="189"/>
    <row r="724" ht="12.75" customHeight="1" s="189"/>
    <row r="725" ht="12.75" customHeight="1" s="189"/>
    <row r="726" ht="12.75" customHeight="1" s="189"/>
    <row r="727" ht="12.75" customHeight="1" s="189"/>
    <row r="728" ht="12.75" customHeight="1" s="189"/>
    <row r="729" ht="12.75" customHeight="1" s="189"/>
    <row r="730" ht="12.75" customHeight="1" s="189"/>
    <row r="731" ht="12.75" customHeight="1" s="189"/>
    <row r="732" ht="12.75" customHeight="1" s="189"/>
    <row r="733" ht="12.75" customHeight="1" s="189"/>
    <row r="734" ht="12.75" customHeight="1" s="189"/>
    <row r="735" ht="12.75" customHeight="1" s="189"/>
    <row r="736" ht="12.75" customHeight="1" s="189"/>
    <row r="737" ht="12.75" customHeight="1" s="189"/>
    <row r="738" ht="12.75" customHeight="1" s="189"/>
    <row r="739" ht="12.75" customHeight="1" s="189"/>
    <row r="740" ht="12.75" customHeight="1" s="189"/>
    <row r="741" ht="12.75" customHeight="1" s="189"/>
    <row r="742" ht="12.75" customHeight="1" s="189"/>
    <row r="743" ht="12.75" customHeight="1" s="189"/>
    <row r="744" ht="12.75" customHeight="1" s="189"/>
    <row r="745" ht="12.75" customHeight="1" s="189"/>
    <row r="746" ht="12.75" customHeight="1" s="189"/>
    <row r="747" ht="12.75" customHeight="1" s="189"/>
    <row r="748" ht="12.75" customHeight="1" s="189"/>
    <row r="749" ht="12.75" customHeight="1" s="189"/>
    <row r="750" ht="12.75" customHeight="1" s="189"/>
    <row r="751" ht="12.75" customHeight="1" s="189"/>
    <row r="752" ht="12.75" customHeight="1" s="189"/>
    <row r="753" ht="12.75" customHeight="1" s="189"/>
    <row r="754" ht="12.75" customHeight="1" s="189"/>
    <row r="755" ht="12.75" customHeight="1" s="189"/>
    <row r="756" ht="12.75" customHeight="1" s="189"/>
    <row r="757" ht="12.75" customHeight="1" s="189"/>
    <row r="758" ht="12.75" customHeight="1" s="189"/>
    <row r="759" ht="12.75" customHeight="1" s="189"/>
    <row r="760" ht="12.75" customHeight="1" s="189"/>
    <row r="761" ht="12.75" customHeight="1" s="189"/>
    <row r="762" ht="12.75" customHeight="1" s="189"/>
    <row r="763" ht="12.75" customHeight="1" s="189"/>
    <row r="764" ht="12.75" customHeight="1" s="189"/>
    <row r="765" ht="12.75" customHeight="1" s="189"/>
    <row r="766" ht="12.75" customHeight="1" s="189"/>
    <row r="767" ht="12.75" customHeight="1" s="189"/>
    <row r="768" ht="12.75" customHeight="1" s="189"/>
    <row r="769" ht="12.75" customHeight="1" s="189"/>
    <row r="770" ht="12.75" customHeight="1" s="189"/>
    <row r="771" ht="12.75" customHeight="1" s="189"/>
    <row r="772" ht="12.75" customHeight="1" s="189"/>
    <row r="773" ht="12.75" customHeight="1" s="189"/>
    <row r="774" ht="12.75" customHeight="1" s="189"/>
    <row r="775" ht="12.75" customHeight="1" s="189"/>
    <row r="776" ht="12.75" customHeight="1" s="189"/>
    <row r="777" ht="12.75" customHeight="1" s="189"/>
    <row r="778" ht="12.75" customHeight="1" s="189"/>
    <row r="779" ht="12.75" customHeight="1" s="189"/>
    <row r="780" ht="12.75" customHeight="1" s="189"/>
    <row r="781" ht="12.75" customHeight="1" s="189"/>
    <row r="782" ht="12.75" customHeight="1" s="189"/>
    <row r="783" ht="12.75" customHeight="1" s="189"/>
    <row r="784" ht="12.75" customHeight="1" s="189"/>
    <row r="785" ht="12.75" customHeight="1" s="189"/>
    <row r="786" ht="12.75" customHeight="1" s="189"/>
    <row r="787" ht="12.75" customHeight="1" s="189"/>
    <row r="788" ht="12.75" customHeight="1" s="189"/>
    <row r="789" ht="12.75" customHeight="1" s="189"/>
    <row r="790" ht="12.75" customHeight="1" s="189"/>
    <row r="791" ht="12.75" customHeight="1" s="189"/>
    <row r="792" ht="12.75" customHeight="1" s="189"/>
    <row r="793" ht="12.75" customHeight="1" s="189"/>
    <row r="794" ht="12.75" customHeight="1" s="189"/>
    <row r="795" ht="12.75" customHeight="1" s="189"/>
    <row r="796" ht="12.75" customHeight="1" s="189"/>
    <row r="797" ht="12.75" customHeight="1" s="189"/>
    <row r="798" ht="12.75" customHeight="1" s="189"/>
    <row r="799" ht="12.75" customHeight="1" s="189"/>
    <row r="800" ht="12.75" customHeight="1" s="189"/>
    <row r="801" ht="12.75" customHeight="1" s="189"/>
    <row r="802" ht="12.75" customHeight="1" s="189"/>
    <row r="803" ht="12.75" customHeight="1" s="189"/>
    <row r="804" ht="12.75" customHeight="1" s="189"/>
    <row r="805" ht="12.75" customHeight="1" s="189"/>
    <row r="806" ht="12.75" customHeight="1" s="189"/>
    <row r="807" ht="12.75" customHeight="1" s="189"/>
    <row r="808" ht="12.75" customHeight="1" s="189"/>
    <row r="809" ht="12.75" customHeight="1" s="189"/>
    <row r="810" ht="12.75" customHeight="1" s="189"/>
    <row r="811" ht="12.75" customHeight="1" s="189"/>
    <row r="812" ht="12.75" customHeight="1" s="189"/>
    <row r="813" ht="12.75" customHeight="1" s="189"/>
    <row r="814" ht="12.75" customHeight="1" s="189"/>
    <row r="815" ht="12.75" customHeight="1" s="189"/>
    <row r="816" ht="12.75" customHeight="1" s="189"/>
    <row r="817" ht="12.75" customHeight="1" s="189"/>
    <row r="818" ht="12.75" customHeight="1" s="189"/>
    <row r="819" ht="12.75" customHeight="1" s="189"/>
    <row r="820" ht="12.75" customHeight="1" s="189"/>
    <row r="821" ht="12.75" customHeight="1" s="189"/>
    <row r="822" ht="12.75" customHeight="1" s="189"/>
    <row r="823" ht="12.75" customHeight="1" s="189"/>
    <row r="824" ht="12.75" customHeight="1" s="189"/>
    <row r="825" ht="12.75" customHeight="1" s="189"/>
    <row r="826" ht="12.75" customHeight="1" s="189"/>
    <row r="827" ht="12.75" customHeight="1" s="189"/>
    <row r="828" ht="12.75" customHeight="1" s="189"/>
    <row r="829" ht="12.75" customHeight="1" s="189"/>
    <row r="830" ht="12.75" customHeight="1" s="189"/>
    <row r="831" ht="12.75" customHeight="1" s="189"/>
    <row r="832" ht="12.75" customHeight="1" s="189"/>
    <row r="833" ht="12.75" customHeight="1" s="189"/>
    <row r="834" ht="12.75" customHeight="1" s="189"/>
    <row r="835" ht="12.75" customHeight="1" s="189"/>
    <row r="836" ht="12.75" customHeight="1" s="189"/>
    <row r="837" ht="12.75" customHeight="1" s="189"/>
    <row r="838" ht="12.75" customHeight="1" s="189"/>
    <row r="839" ht="12.75" customHeight="1" s="189"/>
    <row r="840" ht="12.75" customHeight="1" s="189"/>
    <row r="841" ht="12.75" customHeight="1" s="189"/>
    <row r="842" ht="12.75" customHeight="1" s="189"/>
    <row r="843" ht="12.75" customHeight="1" s="189"/>
    <row r="844" ht="12.75" customHeight="1" s="189"/>
    <row r="845" ht="12.75" customHeight="1" s="189"/>
    <row r="846" ht="12.75" customHeight="1" s="189"/>
    <row r="847" ht="12.75" customHeight="1" s="189"/>
    <row r="848" ht="12.75" customHeight="1" s="189"/>
    <row r="849" ht="12.75" customHeight="1" s="189"/>
    <row r="850" ht="12.75" customHeight="1" s="189"/>
    <row r="851" ht="12.75" customHeight="1" s="189"/>
    <row r="852" ht="12.75" customHeight="1" s="189"/>
    <row r="853" ht="12.75" customHeight="1" s="189"/>
    <row r="854" ht="12.75" customHeight="1" s="189"/>
    <row r="855" ht="12.75" customHeight="1" s="189"/>
    <row r="856" ht="12.75" customHeight="1" s="189"/>
    <row r="857" ht="12.75" customHeight="1" s="189"/>
    <row r="858" ht="12.75" customHeight="1" s="189"/>
    <row r="859" ht="12.75" customHeight="1" s="189"/>
    <row r="860" ht="12.75" customHeight="1" s="189"/>
    <row r="861" ht="12.75" customHeight="1" s="189"/>
    <row r="862" ht="12.75" customHeight="1" s="189"/>
    <row r="863" ht="12.75" customHeight="1" s="189"/>
    <row r="864" ht="12.75" customHeight="1" s="189"/>
    <row r="865" ht="12.75" customHeight="1" s="189"/>
    <row r="866" ht="12.75" customHeight="1" s="189"/>
    <row r="867" ht="12.75" customHeight="1" s="189"/>
    <row r="868" ht="12.75" customHeight="1" s="189"/>
    <row r="869" ht="12.75" customHeight="1" s="189"/>
    <row r="870" ht="12.75" customHeight="1" s="189"/>
    <row r="871" ht="12.75" customHeight="1" s="189"/>
    <row r="872" ht="12.75" customHeight="1" s="189"/>
    <row r="873" ht="12.75" customHeight="1" s="189"/>
    <row r="874" ht="12.75" customHeight="1" s="189"/>
    <row r="875" ht="12.75" customHeight="1" s="189"/>
    <row r="876" ht="12.75" customHeight="1" s="189"/>
    <row r="877" ht="12.75" customHeight="1" s="189"/>
    <row r="878" ht="12.75" customHeight="1" s="189"/>
    <row r="879" ht="12.75" customHeight="1" s="189"/>
    <row r="880" ht="12.75" customHeight="1" s="189"/>
    <row r="881" ht="12.75" customHeight="1" s="189"/>
    <row r="882" ht="12.75" customHeight="1" s="189"/>
    <row r="883" ht="12.75" customHeight="1" s="189"/>
    <row r="884" ht="12.75" customHeight="1" s="189"/>
    <row r="885" ht="12.75" customHeight="1" s="189"/>
    <row r="886" ht="12.75" customHeight="1" s="189"/>
    <row r="887" ht="12.75" customHeight="1" s="189"/>
    <row r="888" ht="12.75" customHeight="1" s="189"/>
    <row r="889" ht="12.75" customHeight="1" s="189"/>
    <row r="890" ht="12.75" customHeight="1" s="189"/>
    <row r="891" ht="12.75" customHeight="1" s="189"/>
    <row r="892" ht="12.75" customHeight="1" s="189"/>
    <row r="893" ht="12.75" customHeight="1" s="189"/>
    <row r="894" ht="12.75" customHeight="1" s="189"/>
    <row r="895" ht="12.75" customHeight="1" s="189"/>
    <row r="896" ht="12.75" customHeight="1" s="189"/>
    <row r="897" ht="12.75" customHeight="1" s="189"/>
    <row r="898" ht="12.75" customHeight="1" s="189"/>
    <row r="899" ht="12.75" customHeight="1" s="189"/>
    <row r="900" ht="12.75" customHeight="1" s="189"/>
    <row r="901" ht="12.75" customHeight="1" s="189"/>
    <row r="902" ht="12.75" customHeight="1" s="189"/>
    <row r="903" ht="12.75" customHeight="1" s="189"/>
    <row r="904" ht="12.75" customHeight="1" s="189"/>
    <row r="905" ht="12.75" customHeight="1" s="189"/>
    <row r="906" ht="12.75" customHeight="1" s="189"/>
    <row r="907" ht="12.75" customHeight="1" s="189"/>
    <row r="908" ht="12.75" customHeight="1" s="189"/>
    <row r="909" ht="12.75" customHeight="1" s="189"/>
    <row r="910" ht="12.75" customHeight="1" s="189"/>
    <row r="911" ht="12.75" customHeight="1" s="189"/>
    <row r="912" ht="12.75" customHeight="1" s="189"/>
    <row r="913" ht="12.75" customHeight="1" s="189"/>
    <row r="914" ht="12.75" customHeight="1" s="189"/>
    <row r="915" ht="12.75" customHeight="1" s="189"/>
    <row r="916" ht="12.75" customHeight="1" s="189"/>
    <row r="917" ht="12.75" customHeight="1" s="189"/>
    <row r="918" ht="12.75" customHeight="1" s="189"/>
    <row r="919" ht="12.75" customHeight="1" s="189"/>
    <row r="920" ht="12.75" customHeight="1" s="189"/>
    <row r="921" ht="12.75" customHeight="1" s="189"/>
    <row r="922" ht="12.75" customHeight="1" s="189"/>
    <row r="923" ht="12.75" customHeight="1" s="189"/>
    <row r="924" ht="12.75" customHeight="1" s="189"/>
    <row r="925" ht="12.75" customHeight="1" s="189"/>
    <row r="926" ht="12.75" customHeight="1" s="189"/>
    <row r="927" ht="12.75" customHeight="1" s="189"/>
    <row r="928" ht="12.75" customHeight="1" s="189"/>
    <row r="929" ht="12.75" customHeight="1" s="189"/>
    <row r="930" ht="12.75" customHeight="1" s="189"/>
    <row r="931" ht="12.75" customHeight="1" s="189"/>
    <row r="932" ht="12.75" customHeight="1" s="189"/>
    <row r="933" ht="12.75" customHeight="1" s="189"/>
    <row r="934" ht="12.75" customHeight="1" s="189"/>
    <row r="935" ht="12.75" customHeight="1" s="189"/>
    <row r="936" ht="12.75" customHeight="1" s="189"/>
    <row r="937" ht="12.75" customHeight="1" s="189"/>
    <row r="938" ht="12.75" customHeight="1" s="189"/>
    <row r="939" ht="12.75" customHeight="1" s="189"/>
    <row r="940" ht="12.75" customHeight="1" s="189"/>
    <row r="941" ht="12.75" customHeight="1" s="189"/>
    <row r="942" ht="12.75" customHeight="1" s="189"/>
    <row r="943" ht="12.75" customHeight="1" s="189"/>
    <row r="944" ht="12.75" customHeight="1" s="189"/>
    <row r="945" ht="12.75" customHeight="1" s="189"/>
    <row r="946" ht="12.75" customHeight="1" s="189"/>
    <row r="947" ht="12.75" customHeight="1" s="189"/>
    <row r="948" ht="12.75" customHeight="1" s="189"/>
    <row r="949" ht="12.75" customHeight="1" s="189"/>
    <row r="950" ht="12.75" customHeight="1" s="189"/>
    <row r="951" ht="12.75" customHeight="1" s="189"/>
    <row r="952" ht="12.75" customHeight="1" s="189"/>
    <row r="953" ht="12.75" customHeight="1" s="189"/>
    <row r="954" ht="12.75" customHeight="1" s="189"/>
    <row r="955" ht="12.75" customHeight="1" s="189"/>
    <row r="956" ht="12.75" customHeight="1" s="189"/>
    <row r="957" ht="12.75" customHeight="1" s="189"/>
    <row r="958" ht="12.75" customHeight="1" s="189"/>
    <row r="959" ht="12.75" customHeight="1" s="189"/>
    <row r="960" ht="12.75" customHeight="1" s="189"/>
    <row r="961" ht="12.75" customHeight="1" s="189"/>
    <row r="962" ht="12.75" customHeight="1" s="189"/>
    <row r="963" ht="12.75" customHeight="1" s="189"/>
    <row r="964" ht="12.75" customHeight="1" s="189"/>
    <row r="965" ht="12.75" customHeight="1" s="189"/>
    <row r="966" ht="12.75" customHeight="1" s="189"/>
    <row r="967" ht="12.75" customHeight="1" s="189"/>
    <row r="968" ht="12.75" customHeight="1" s="189"/>
    <row r="969" ht="12.75" customHeight="1" s="189"/>
    <row r="970" ht="12.75" customHeight="1" s="189"/>
    <row r="971" ht="12.75" customHeight="1" s="189"/>
    <row r="972" ht="12.75" customHeight="1" s="189"/>
    <row r="973" ht="12.75" customHeight="1" s="189"/>
    <row r="974" ht="12.75" customHeight="1" s="189"/>
    <row r="975" ht="12.75" customHeight="1" s="189"/>
    <row r="976" ht="12.75" customHeight="1" s="189"/>
    <row r="977" ht="12.75" customHeight="1" s="189"/>
    <row r="978" ht="12.75" customHeight="1" s="189"/>
    <row r="979" ht="12.75" customHeight="1" s="189"/>
    <row r="980" ht="12.75" customHeight="1" s="189"/>
    <row r="981" ht="12.75" customHeight="1" s="189"/>
    <row r="982" ht="12.75" customHeight="1" s="189"/>
    <row r="983" ht="12.75" customHeight="1" s="189"/>
    <row r="984" ht="12.75" customHeight="1" s="189"/>
    <row r="985" ht="12.75" customHeight="1" s="189"/>
    <row r="986" ht="12.75" customHeight="1" s="189"/>
    <row r="987" ht="12.75" customHeight="1" s="189"/>
    <row r="988" ht="12.75" customHeight="1" s="189"/>
    <row r="989" ht="12.75" customHeight="1" s="189"/>
    <row r="990" ht="12.75" customHeight="1" s="189"/>
    <row r="991" ht="12.75" customHeight="1" s="189"/>
    <row r="992" ht="12.75" customHeight="1" s="189"/>
    <row r="993" ht="12.75" customHeight="1" s="189"/>
    <row r="994" ht="12.75" customHeight="1" s="189"/>
    <row r="995" ht="12.75" customHeight="1" s="189"/>
    <row r="996" ht="12.75" customHeight="1" s="189"/>
    <row r="997" ht="12.75" customHeight="1" s="189"/>
    <row r="998" ht="12.75" customHeight="1" s="189"/>
    <row r="999" ht="12.75" customHeight="1" s="189"/>
    <row r="1000" ht="12.75" customHeight="1" s="189"/>
  </sheetData>
  <mergeCells count="2">
    <mergeCell ref="H3:L3"/>
    <mergeCell ref="E3:G3"/>
  </mergeCells>
  <conditionalFormatting sqref="M7:M51">
    <cfRule type="expression" priority="1" dxfId="0">
      <formula>AND($F7&lt;&gt;"",$M7="Pronto")</formula>
    </cfRule>
    <cfRule type="expression" priority="2" dxfId="1">
      <formula>AND($F7&lt;&gt;"",OR($M7="Atrasado",AND($M7&lt;&gt;"Pronto",$G7&lt;TODAY())))</formula>
    </cfRule>
    <cfRule type="expression" priority="3" dxfId="2">
      <formula>$F7&lt;&gt;""</formula>
    </cfRule>
  </conditionalFormatting>
  <conditionalFormatting sqref="N6:AJ51">
    <cfRule type="expression" priority="4" dxfId="3">
      <formula>AND($M6="Pronto",N$5&gt;=$F6,N$5&lt;=$G6,$F6&lt;&gt;"")</formula>
    </cfRule>
    <cfRule type="expression" priority="5" dxfId="4">
      <formula>AND(OR($M6="Atrasado",AND($M6&lt;&gt;"Pronto",$G6&lt;TODAY())),N$5&gt;=$F6,N$5&lt;=$G6,$F6&lt;&gt;"")</formula>
    </cfRule>
    <cfRule type="expression" priority="6" dxfId="5">
      <formula>AND(N$5&gt;=$F6,N$5&lt;=$G6,$F6&lt;&gt;"")</formula>
    </cfRule>
  </conditionalFormatting>
  <dataValidations count="1">
    <dataValidation sqref="M7:M51" showDropDown="0" showInputMessage="1" showErrorMessage="1" allowBlank="1" prompt="Escolha Pronto, Planejado ou Atrasado" type="list">
      <formula1>"Pronto,Planejado,Atrasado"</formula1>
    </dataValidation>
  </dataValidation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12.63" defaultRowHeight="15" customHeight="1"/>
  <cols>
    <col width="9" customWidth="1" style="189" min="1" max="1"/>
    <col width="13" customWidth="1" style="189" min="2" max="6"/>
    <col width="16" customWidth="1" style="189" min="7" max="7"/>
    <col width="13" customWidth="1" style="189" min="8" max="12"/>
    <col width="80" customWidth="1" style="189" min="13" max="13"/>
    <col width="8.75" customWidth="1" style="189" min="14" max="26"/>
  </cols>
  <sheetData>
    <row r="1" ht="17.25" customHeight="1" s="189">
      <c r="A1" s="145" t="inlineStr">
        <is>
          <t>Releases e conferência do cronograma</t>
        </is>
      </c>
    </row>
    <row r="2" ht="15" customHeight="1" s="189">
      <c r="A2" s="144" t="inlineStr">
        <is>
          <t>Release 00 entregue em 20/10; Releases 01 a 04 com a mesma data de entrega (19/11). Conferência compara o planejado no Cronograma com o exigido.</t>
        </is>
      </c>
    </row>
    <row r="3" ht="12.75" customHeight="1" s="189"/>
    <row r="4" ht="12.75" customHeight="1" s="189"/>
    <row r="5" ht="51.75" customHeight="1" s="189">
      <c r="A5" s="162" t="inlineStr">
        <is>
          <t>Release</t>
        </is>
      </c>
      <c r="B5" s="162" t="inlineStr">
        <is>
          <t>Início do período</t>
        </is>
      </c>
      <c r="C5" s="162" t="inlineStr">
        <is>
          <t>Início da janela</t>
        </is>
      </c>
      <c r="D5" s="162" t="inlineStr">
        <is>
          <t>Entrega (fim)</t>
        </is>
      </c>
      <c r="E5" s="162" t="inlineStr">
        <is>
          <t>Dias úteis do período</t>
        </is>
      </c>
      <c r="F5" s="162" t="inlineStr">
        <is>
          <t>Horas planejadas</t>
        </is>
      </c>
      <c r="G5" s="162" t="inlineStr">
        <is>
          <t>Pessoas necessárias (tempo integral)</t>
        </is>
      </c>
      <c r="H5" s="162" t="inlineStr">
        <is>
          <t>CRUDs acumulados exigidos</t>
        </is>
      </c>
      <c r="I5" s="162" t="inlineStr">
        <is>
          <t>CRUDs acumulados planejados</t>
        </is>
      </c>
      <c r="J5" s="162" t="inlineStr">
        <is>
          <t>Relatórios acumulados exigidos</t>
        </is>
      </c>
      <c r="K5" s="162" t="inlineStr">
        <is>
          <t>Relatórios acumulados planejados</t>
        </is>
      </c>
      <c r="L5" s="162" t="inlineStr">
        <is>
          <t>Conferência</t>
        </is>
      </c>
      <c r="M5" s="162" t="inlineStr">
        <is>
          <t>Entregas previstas</t>
        </is>
      </c>
    </row>
    <row r="6" ht="39.75" customHeight="1" s="189">
      <c r="A6" s="163" t="inlineStr">
        <is>
          <t>R00</t>
        </is>
      </c>
      <c r="B6" s="164">
        <f>Premissas!$C$7</f>
        <v/>
      </c>
      <c r="C6" s="165" t="n">
        <v>46313</v>
      </c>
      <c r="D6" s="165" t="n">
        <v>46315</v>
      </c>
      <c r="E6" s="163">
        <f>NETWORKDAYS(B6,D6,Premissas!$B$10:$B$14)</f>
        <v/>
      </c>
      <c r="F6" s="166">
        <f>SUMIF(Cronograma!$C$6:$C$51,A6,Cronograma!$J$6:$J$51)</f>
        <v/>
      </c>
      <c r="G6" s="166">
        <f>F6/(E6*Premissas!$C$4)</f>
        <v/>
      </c>
      <c r="H6" s="167" t="n">
        <v>0</v>
      </c>
      <c r="I6" s="163">
        <f>COUNTIFS(Cronograma!$C$6:$C$51,A6,Cronograma!$E$6:$E$51,"CRUD")</f>
        <v/>
      </c>
      <c r="J6" s="167" t="n">
        <v>0</v>
      </c>
      <c r="K6" s="163">
        <f>COUNTIFS(Cronograma!$C$6:$C$51,A6,Cronograma!$E$6:$E$51,"Relatório")</f>
        <v/>
      </c>
      <c r="L6" s="163">
        <f>IF(AND(I6=H6,K6=J6),"OK","Verificar")</f>
        <v/>
      </c>
      <c r="M6" s="168" t="inlineStr">
        <is>
          <t>DRE, Estimativa Definitiva de Tamanho, Cronograma, Matriz de Rastreabilidade Bidirecional e Plano de Projeto</t>
        </is>
      </c>
    </row>
    <row r="7" ht="39.75" customHeight="1" s="189">
      <c r="A7" s="163" t="inlineStr">
        <is>
          <t>R01</t>
        </is>
      </c>
      <c r="B7" s="164">
        <f>_xlfn.MINIFS(Cronograma!$F$6:$F$51,Cronograma!$C$6:$C$51,A7)</f>
        <v/>
      </c>
      <c r="C7" s="165" t="n">
        <v>46343</v>
      </c>
      <c r="D7" s="165" t="n">
        <v>46345</v>
      </c>
      <c r="E7" s="163">
        <f>NETWORKDAYS(B7,D7,Premissas!$B$10:$B$14)</f>
        <v/>
      </c>
      <c r="F7" s="166">
        <f>SUMIF(Cronograma!$C$6:$C$51,A7,Cronograma!$J$6:$J$51)</f>
        <v/>
      </c>
      <c r="G7" s="166">
        <f>F7/(E7*Premissas!$C$4)</f>
        <v/>
      </c>
      <c r="H7" s="167" t="n">
        <v>2</v>
      </c>
      <c r="I7" s="163">
        <f>COUNTIFS(Cronograma!$C$6:$C$51,A7,Cronograma!$E$6:$E$51,"CRUD")+I6</f>
        <v/>
      </c>
      <c r="J7" s="167" t="n">
        <v>0</v>
      </c>
      <c r="K7" s="163">
        <f>COUNTIFS(Cronograma!$C$6:$C$51,A7,Cronograma!$E$6:$E$51,"Relatório")+K6</f>
        <v/>
      </c>
      <c r="L7" s="163">
        <f>IF(AND(I7=H7,K7=J7),"OK","Verificar")</f>
        <v/>
      </c>
      <c r="M7" s="168" t="inlineStr">
        <is>
          <t>2 CRUDs + cronograma atualizado + baseline no SVN/GIT + testes Selenium + bugs no Mantis/Bugzilla</t>
        </is>
      </c>
    </row>
    <row r="8" ht="39.75" customHeight="1" s="189">
      <c r="A8" s="163" t="inlineStr">
        <is>
          <t>R02</t>
        </is>
      </c>
      <c r="B8" s="164">
        <f>_xlfn.MINIFS(Cronograma!$F$6:$F$51,Cronograma!$C$6:$C$51,A8)</f>
        <v/>
      </c>
      <c r="C8" s="165" t="n">
        <v>46343</v>
      </c>
      <c r="D8" s="165" t="n">
        <v>46345</v>
      </c>
      <c r="E8" s="163">
        <f>NETWORKDAYS(B8,D8,Premissas!$B$10:$B$14)</f>
        <v/>
      </c>
      <c r="F8" s="166">
        <f>SUMIF(Cronograma!$C$6:$C$51,A8,Cronograma!$J$6:$J$51)</f>
        <v/>
      </c>
      <c r="G8" s="166">
        <f>F8/(E8*Premissas!$C$4)</f>
        <v/>
      </c>
      <c r="H8" s="167" t="n">
        <v>4</v>
      </c>
      <c r="I8" s="163">
        <f>COUNTIFS(Cronograma!$C$6:$C$51,A8,Cronograma!$E$6:$E$51,"CRUD")+I7</f>
        <v/>
      </c>
      <c r="J8" s="167" t="n">
        <v>0</v>
      </c>
      <c r="K8" s="163">
        <f>COUNTIFS(Cronograma!$C$6:$C$51,A8,Cronograma!$E$6:$E$51,"Relatório")+K7</f>
        <v/>
      </c>
      <c r="L8" s="163">
        <f>IF(AND(I8=H8,K8=J8),"OK","Verificar")</f>
        <v/>
      </c>
      <c r="M8" s="168" t="inlineStr">
        <is>
          <t>4 CRUDs + cronograma + baseline no SVN/GIT + testes Selenium + bugs no Mantis/Bugzilla</t>
        </is>
      </c>
    </row>
    <row r="9" ht="39.75" customHeight="1" s="189">
      <c r="A9" s="163" t="inlineStr">
        <is>
          <t>R03</t>
        </is>
      </c>
      <c r="B9" s="164">
        <f>_xlfn.MINIFS(Cronograma!$F$6:$F$51,Cronograma!$C$6:$C$51,A9)</f>
        <v/>
      </c>
      <c r="C9" s="165" t="n">
        <v>46343</v>
      </c>
      <c r="D9" s="165" t="n">
        <v>46345</v>
      </c>
      <c r="E9" s="163">
        <f>NETWORKDAYS(B9,D9,Premissas!$B$10:$B$14)</f>
        <v/>
      </c>
      <c r="F9" s="166">
        <f>SUMIF(Cronograma!$C$6:$C$51,A9,Cronograma!$J$6:$J$51)</f>
        <v/>
      </c>
      <c r="G9" s="166">
        <f>F9/(E9*Premissas!$C$4)</f>
        <v/>
      </c>
      <c r="H9" s="167" t="n">
        <v>6</v>
      </c>
      <c r="I9" s="163">
        <f>COUNTIFS(Cronograma!$C$6:$C$51,A9,Cronograma!$E$6:$E$51,"CRUD")+I8</f>
        <v/>
      </c>
      <c r="J9" s="167" t="n">
        <v>1</v>
      </c>
      <c r="K9" s="163">
        <f>COUNTIFS(Cronograma!$C$6:$C$51,A9,Cronograma!$E$6:$E$51,"Relatório")+K8</f>
        <v/>
      </c>
      <c r="L9" s="163">
        <f>IF(AND(I9=H9,K9=J9),"OK","Verificar")</f>
        <v/>
      </c>
      <c r="M9" s="168" t="inlineStr">
        <is>
          <t>6 CRUDs + 1 relatório + cronograma + baseline no SVN/GIT + testes Selenium + bugs no Mantis/Bugzilla</t>
        </is>
      </c>
    </row>
    <row r="10" ht="39.75" customHeight="1" s="189">
      <c r="A10" s="163" t="inlineStr">
        <is>
          <t>R04</t>
        </is>
      </c>
      <c r="B10" s="164">
        <f>_xlfn.MINIFS(Cronograma!$F$6:$F$51,Cronograma!$C$6:$C$51,A10)</f>
        <v/>
      </c>
      <c r="C10" s="165" t="n">
        <v>46343</v>
      </c>
      <c r="D10" s="165" t="n">
        <v>46345</v>
      </c>
      <c r="E10" s="163">
        <f>NETWORKDAYS(B10,D10,Premissas!$B$10:$B$14)</f>
        <v/>
      </c>
      <c r="F10" s="166">
        <f>SUMIF(Cronograma!$C$6:$C$51,A10,Cronograma!$J$6:$J$51)</f>
        <v/>
      </c>
      <c r="G10" s="166">
        <f>F10/(E10*Premissas!$C$4)</f>
        <v/>
      </c>
      <c r="H10" s="167" t="n">
        <v>8</v>
      </c>
      <c r="I10" s="163">
        <f>COUNTIFS(Cronograma!$C$6:$C$51,A10,Cronograma!$E$6:$E$51,"CRUD")+I9</f>
        <v/>
      </c>
      <c r="J10" s="167" t="n">
        <v>1</v>
      </c>
      <c r="K10" s="163">
        <f>COUNTIFS(Cronograma!$C$6:$C$51,A10,Cronograma!$E$6:$E$51,"Relatório")+K9</f>
        <v/>
      </c>
      <c r="L10" s="163">
        <f>IF(AND(I10=H10,K10=J10),"OK","Verificar")</f>
        <v/>
      </c>
      <c r="M10" s="168" t="inlineStr">
        <is>
          <t>8 CRUDs + 1 relatório + cronograma + baseline no SVN/GIT + testes Selenium + bugs no Mantis/Bugzilla</t>
        </is>
      </c>
    </row>
    <row r="11" ht="15" customHeight="1" s="189">
      <c r="A11" s="110" t="inlineStr">
        <is>
          <t>Total</t>
        </is>
      </c>
      <c r="E11" s="110">
        <f>NETWORKDAYS(MIN(B6:B10),MAX(D6:D10),Premissas!$B$10:$B$14)</f>
        <v/>
      </c>
      <c r="F11" s="169">
        <f>SUM(F6:F10)</f>
        <v/>
      </c>
      <c r="G11" s="169">
        <f>F11/(E11*Premissas!$C$4)</f>
        <v/>
      </c>
    </row>
    <row r="12" ht="12.75" customHeight="1" s="189"/>
    <row r="13" ht="12.75" customHeight="1" s="189"/>
    <row r="14" ht="15" customHeight="1" s="189">
      <c r="A14" s="171" t="inlineStr">
        <is>
          <t>Conferência por fase (horas da estimativa x horas alocadas no cronograma)</t>
        </is>
      </c>
    </row>
    <row r="15" ht="21.75" customHeight="1" s="189">
      <c r="A15" s="172" t="inlineStr">
        <is>
          <t>Fase</t>
        </is>
      </c>
      <c r="B15" s="173" t="n"/>
      <c r="C15" s="173" t="n"/>
      <c r="D15" s="172" t="inlineStr">
        <is>
          <t>Horas (aba Geral)</t>
        </is>
      </c>
      <c r="E15" s="172" t="inlineStr">
        <is>
          <t>Horas no cronograma</t>
        </is>
      </c>
      <c r="F15" s="172" t="inlineStr">
        <is>
          <t>% alocado</t>
        </is>
      </c>
      <c r="G15" s="172" t="inlineStr">
        <is>
          <t>Conferência</t>
        </is>
      </c>
    </row>
    <row r="16" ht="15" customHeight="1" s="189">
      <c r="A16" s="178">
        <f>Geral!G13</f>
        <v/>
      </c>
      <c r="B16" s="216" t="n"/>
      <c r="C16" s="217" t="n"/>
      <c r="D16" s="176">
        <f>Geral!J13</f>
        <v/>
      </c>
      <c r="E16" s="176">
        <f>SUMIF(Cronograma!$D$6:$D$51,A16,Cronograma!$J$6:$J$51)</f>
        <v/>
      </c>
      <c r="F16" s="177">
        <f>IF(D16=0,0,E16/D16)</f>
        <v/>
      </c>
      <c r="G16" s="178">
        <f>IF(ABS(E16-D16)&lt;0.01,"OK","Verificar")</f>
        <v/>
      </c>
    </row>
    <row r="17" ht="15" customHeight="1" s="189">
      <c r="A17" s="178">
        <f>Geral!G14</f>
        <v/>
      </c>
      <c r="B17" s="216" t="n"/>
      <c r="C17" s="217" t="n"/>
      <c r="D17" s="176">
        <f>Geral!J14</f>
        <v/>
      </c>
      <c r="E17" s="176">
        <f>SUMIF(Cronograma!$D$6:$D$51,A17,Cronograma!$J$6:$J$51)</f>
        <v/>
      </c>
      <c r="F17" s="177">
        <f>IF(D17=0,0,E17/D17)</f>
        <v/>
      </c>
      <c r="G17" s="178">
        <f>IF(ABS(E17-D17)&lt;0.01,"OK","Verificar")</f>
        <v/>
      </c>
    </row>
    <row r="18" ht="15" customHeight="1" s="189">
      <c r="A18" s="178">
        <f>Geral!G15</f>
        <v/>
      </c>
      <c r="B18" s="216" t="n"/>
      <c r="C18" s="217" t="n"/>
      <c r="D18" s="176">
        <f>Geral!J15</f>
        <v/>
      </c>
      <c r="E18" s="176">
        <f>SUMIF(Cronograma!$D$6:$D$51,A18,Cronograma!$J$6:$J$51)</f>
        <v/>
      </c>
      <c r="F18" s="177">
        <f>IF(D18=0,0,E18/D18)</f>
        <v/>
      </c>
      <c r="G18" s="178">
        <f>IF(ABS(E18-D18)&lt;0.01,"OK","Verificar")</f>
        <v/>
      </c>
    </row>
    <row r="19" ht="15" customHeight="1" s="189">
      <c r="A19" s="178">
        <f>Geral!G16</f>
        <v/>
      </c>
      <c r="B19" s="216" t="n"/>
      <c r="C19" s="217" t="n"/>
      <c r="D19" s="176">
        <f>Geral!J16</f>
        <v/>
      </c>
      <c r="E19" s="176">
        <f>SUMIF(Cronograma!$D$6:$D$51,A19,Cronograma!$J$6:$J$51)</f>
        <v/>
      </c>
      <c r="F19" s="177">
        <f>IF(D19=0,0,E19/D19)</f>
        <v/>
      </c>
      <c r="G19" s="178">
        <f>IF(ABS(E19-D19)&lt;0.01,"OK","Verificar")</f>
        <v/>
      </c>
    </row>
    <row r="20" ht="15" customHeight="1" s="189">
      <c r="A20" s="178">
        <f>Geral!G17</f>
        <v/>
      </c>
      <c r="B20" s="216" t="n"/>
      <c r="C20" s="217" t="n"/>
      <c r="D20" s="176">
        <f>Geral!J17</f>
        <v/>
      </c>
      <c r="E20" s="176">
        <f>SUMIF(Cronograma!$D$6:$D$51,A20,Cronograma!$J$6:$J$51)</f>
        <v/>
      </c>
      <c r="F20" s="177">
        <f>IF(D20=0,0,E20/D20)</f>
        <v/>
      </c>
      <c r="G20" s="178">
        <f>IF(ABS(E20-D20)&lt;0.01,"OK","Verificar")</f>
        <v/>
      </c>
    </row>
    <row r="21" ht="15" customHeight="1" s="189">
      <c r="A21" s="178">
        <f>Geral!G18</f>
        <v/>
      </c>
      <c r="B21" s="216" t="n"/>
      <c r="C21" s="217" t="n"/>
      <c r="D21" s="176">
        <f>Geral!J18</f>
        <v/>
      </c>
      <c r="E21" s="176">
        <f>SUMIF(Cronograma!$D$6:$D$51,A21,Cronograma!$J$6:$J$51)</f>
        <v/>
      </c>
      <c r="F21" s="177">
        <f>IF(D21=0,0,E21/D21)</f>
        <v/>
      </c>
      <c r="G21" s="178">
        <f>IF(ABS(E21-D21)&lt;0.01,"OK","Verificar")</f>
        <v/>
      </c>
    </row>
    <row r="22" ht="15" customHeight="1" s="189">
      <c r="A22" s="178">
        <f>Geral!G19</f>
        <v/>
      </c>
      <c r="B22" s="216" t="n"/>
      <c r="C22" s="217" t="n"/>
      <c r="D22" s="176">
        <f>Geral!J19</f>
        <v/>
      </c>
      <c r="E22" s="176">
        <f>SUMIF(Cronograma!$D$6:$D$51,A22,Cronograma!$J$6:$J$51)</f>
        <v/>
      </c>
      <c r="F22" s="177">
        <f>IF(D22=0,0,E22/D22)</f>
        <v/>
      </c>
      <c r="G22" s="178">
        <f>IF(ABS(E22-D22)&lt;0.01,"OK","Verificar")</f>
        <v/>
      </c>
    </row>
    <row r="23" ht="15" customHeight="1" s="189">
      <c r="A23" s="178">
        <f>Geral!G20</f>
        <v/>
      </c>
      <c r="B23" s="216" t="n"/>
      <c r="C23" s="217" t="n"/>
      <c r="D23" s="176">
        <f>Geral!J20</f>
        <v/>
      </c>
      <c r="E23" s="176">
        <f>SUMIF(Cronograma!$D$6:$D$51,A23,Cronograma!$J$6:$J$51)</f>
        <v/>
      </c>
      <c r="F23" s="177">
        <f>IF(D23=0,0,E23/D23)</f>
        <v/>
      </c>
      <c r="G23" s="178">
        <f>IF(ABS(E23-D23)&lt;0.01,"OK","Verificar")</f>
        <v/>
      </c>
    </row>
    <row r="24" ht="15" customHeight="1" s="189">
      <c r="A24" s="110" t="inlineStr">
        <is>
          <t>Total</t>
        </is>
      </c>
      <c r="D24" s="169">
        <f>SUM(D16:D23)</f>
        <v/>
      </c>
      <c r="E24" s="169">
        <f>SUM(E16:E23)</f>
        <v/>
      </c>
      <c r="G24" s="110">
        <f>IF(ABS(E24-Geral!J21)&lt;0.01,"OK","Verificar")</f>
        <v/>
      </c>
    </row>
    <row r="25" ht="12.75" customHeight="1" s="189"/>
    <row r="26" ht="12.75" customHeight="1" s="189"/>
    <row r="27" ht="12.75" customHeight="1" s="189"/>
    <row r="28" ht="12.75" customHeight="1" s="189"/>
    <row r="29" ht="12.75" customHeight="1" s="189"/>
    <row r="30" ht="12.75" customHeight="1" s="189"/>
    <row r="31" ht="12.75" customHeight="1" s="189"/>
    <row r="32" ht="12.75" customHeight="1" s="189"/>
    <row r="33" ht="12.75" customHeight="1" s="189"/>
    <row r="34" ht="12.75" customHeight="1" s="189"/>
    <row r="35" ht="12.75" customHeight="1" s="189"/>
    <row r="36" ht="12.75" customHeight="1" s="189"/>
    <row r="37" ht="12.75" customHeight="1" s="189"/>
    <row r="38" ht="12.75" customHeight="1" s="189"/>
    <row r="39" ht="12.75" customHeight="1" s="189"/>
    <row r="40" ht="12.75" customHeight="1" s="189"/>
    <row r="41" ht="12.75" customHeight="1" s="189"/>
    <row r="42" ht="12.75" customHeight="1" s="189"/>
    <row r="43" ht="12.75" customHeight="1" s="189"/>
    <row r="44" ht="12.75" customHeight="1" s="189"/>
    <row r="45" ht="12.75" customHeight="1" s="189"/>
    <row r="46" ht="12.75" customHeight="1" s="189"/>
    <row r="47" ht="12.75" customHeight="1" s="189"/>
    <row r="48" ht="12.75" customHeight="1" s="189"/>
    <row r="49" ht="12.75" customHeight="1" s="189"/>
    <row r="50" ht="12.75" customHeight="1" s="189"/>
    <row r="51" ht="12.75" customHeight="1" s="189"/>
    <row r="52" ht="12.75" customHeight="1" s="189"/>
    <row r="53" ht="12.75" customHeight="1" s="189"/>
    <row r="54" ht="12.75" customHeight="1" s="189"/>
    <row r="55" ht="12.75" customHeight="1" s="189"/>
    <row r="56" ht="12.75" customHeight="1" s="189"/>
    <row r="57" ht="12.75" customHeight="1" s="189"/>
    <row r="58" ht="12.75" customHeight="1" s="189"/>
    <row r="59" ht="12.75" customHeight="1" s="189"/>
    <row r="60" ht="12.75" customHeight="1" s="189"/>
    <row r="61" ht="12.75" customHeight="1" s="189"/>
    <row r="62" ht="12.75" customHeight="1" s="189"/>
    <row r="63" ht="12.75" customHeight="1" s="189"/>
    <row r="64" ht="12.75" customHeight="1" s="189"/>
    <row r="65" ht="12.75" customHeight="1" s="189"/>
    <row r="66" ht="12.75" customHeight="1" s="189"/>
    <row r="67" ht="12.75" customHeight="1" s="189"/>
    <row r="68" ht="12.75" customHeight="1" s="189"/>
    <row r="69" ht="12.75" customHeight="1" s="189"/>
    <row r="70" ht="12.75" customHeight="1" s="189"/>
    <row r="71" ht="12.75" customHeight="1" s="189"/>
    <row r="72" ht="12.75" customHeight="1" s="189"/>
    <row r="73" ht="12.75" customHeight="1" s="189"/>
    <row r="74" ht="12.75" customHeight="1" s="189"/>
    <row r="75" ht="12.75" customHeight="1" s="189"/>
    <row r="76" ht="12.75" customHeight="1" s="189"/>
    <row r="77" ht="12.75" customHeight="1" s="189"/>
    <row r="78" ht="12.75" customHeight="1" s="189"/>
    <row r="79" ht="12.75" customHeight="1" s="189"/>
    <row r="80" ht="12.75" customHeight="1" s="189"/>
    <row r="81" ht="12.75" customHeight="1" s="189"/>
    <row r="82" ht="12.75" customHeight="1" s="189"/>
    <row r="83" ht="12.75" customHeight="1" s="189"/>
    <row r="84" ht="12.75" customHeight="1" s="189"/>
    <row r="85" ht="12.75" customHeight="1" s="189"/>
    <row r="86" ht="12.75" customHeight="1" s="189"/>
    <row r="87" ht="12.75" customHeight="1" s="189"/>
    <row r="88" ht="12.75" customHeight="1" s="189"/>
    <row r="89" ht="12.75" customHeight="1" s="189"/>
    <row r="90" ht="12.75" customHeight="1" s="189"/>
    <row r="91" ht="12.75" customHeight="1" s="189"/>
    <row r="92" ht="12.75" customHeight="1" s="189"/>
    <row r="93" ht="12.75" customHeight="1" s="189"/>
    <row r="94" ht="12.75" customHeight="1" s="189"/>
    <row r="95" ht="12.75" customHeight="1" s="189"/>
    <row r="96" ht="12.75" customHeight="1" s="189"/>
    <row r="97" ht="12.75" customHeight="1" s="189"/>
    <row r="98" ht="12.75" customHeight="1" s="189"/>
    <row r="99" ht="12.75" customHeight="1" s="189"/>
    <row r="100" ht="12.75" customHeight="1" s="189"/>
    <row r="101" ht="12.75" customHeight="1" s="189"/>
    <row r="102" ht="12.75" customHeight="1" s="189"/>
    <row r="103" ht="12.75" customHeight="1" s="189"/>
    <row r="104" ht="12.75" customHeight="1" s="189"/>
    <row r="105" ht="12.75" customHeight="1" s="189"/>
    <row r="106" ht="12.75" customHeight="1" s="189"/>
    <row r="107" ht="12.75" customHeight="1" s="189"/>
    <row r="108" ht="12.75" customHeight="1" s="189"/>
    <row r="109" ht="12.75" customHeight="1" s="189"/>
    <row r="110" ht="12.75" customHeight="1" s="189"/>
    <row r="111" ht="12.75" customHeight="1" s="189"/>
    <row r="112" ht="12.75" customHeight="1" s="189"/>
    <row r="113" ht="12.75" customHeight="1" s="189"/>
    <row r="114" ht="12.75" customHeight="1" s="189"/>
    <row r="115" ht="12.75" customHeight="1" s="189"/>
    <row r="116" ht="12.75" customHeight="1" s="189"/>
    <row r="117" ht="12.75" customHeight="1" s="189"/>
    <row r="118" ht="12.75" customHeight="1" s="189"/>
    <row r="119" ht="12.75" customHeight="1" s="189"/>
    <row r="120" ht="12.75" customHeight="1" s="189"/>
    <row r="121" ht="12.75" customHeight="1" s="189"/>
    <row r="122" ht="12.75" customHeight="1" s="189"/>
    <row r="123" ht="12.75" customHeight="1" s="189"/>
    <row r="124" ht="12.75" customHeight="1" s="189"/>
    <row r="125" ht="12.75" customHeight="1" s="189"/>
    <row r="126" ht="12.75" customHeight="1" s="189"/>
    <row r="127" ht="12.75" customHeight="1" s="189"/>
    <row r="128" ht="12.75" customHeight="1" s="189"/>
    <row r="129" ht="12.75" customHeight="1" s="189"/>
    <row r="130" ht="12.75" customHeight="1" s="189"/>
    <row r="131" ht="12.75" customHeight="1" s="189"/>
    <row r="132" ht="12.75" customHeight="1" s="189"/>
    <row r="133" ht="12.75" customHeight="1" s="189"/>
    <row r="134" ht="12.75" customHeight="1" s="189"/>
    <row r="135" ht="12.75" customHeight="1" s="189"/>
    <row r="136" ht="12.75" customHeight="1" s="189"/>
    <row r="137" ht="12.75" customHeight="1" s="189"/>
    <row r="138" ht="12.75" customHeight="1" s="189"/>
    <row r="139" ht="12.75" customHeight="1" s="189"/>
    <row r="140" ht="12.75" customHeight="1" s="189"/>
    <row r="141" ht="12.75" customHeight="1" s="189"/>
    <row r="142" ht="12.75" customHeight="1" s="189"/>
    <row r="143" ht="12.75" customHeight="1" s="189"/>
    <row r="144" ht="12.75" customHeight="1" s="189"/>
    <row r="145" ht="12.75" customHeight="1" s="189"/>
    <row r="146" ht="12.75" customHeight="1" s="189"/>
    <row r="147" ht="12.75" customHeight="1" s="189"/>
    <row r="148" ht="12.75" customHeight="1" s="189"/>
    <row r="149" ht="12.75" customHeight="1" s="189"/>
    <row r="150" ht="12.75" customHeight="1" s="189"/>
    <row r="151" ht="12.75" customHeight="1" s="189"/>
    <row r="152" ht="12.75" customHeight="1" s="189"/>
    <row r="153" ht="12.75" customHeight="1" s="189"/>
    <row r="154" ht="12.75" customHeight="1" s="189"/>
    <row r="155" ht="12.75" customHeight="1" s="189"/>
    <row r="156" ht="12.75" customHeight="1" s="189"/>
    <row r="157" ht="12.75" customHeight="1" s="189"/>
    <row r="158" ht="12.75" customHeight="1" s="189"/>
    <row r="159" ht="12.75" customHeight="1" s="189"/>
    <row r="160" ht="12.75" customHeight="1" s="189"/>
    <row r="161" ht="12.75" customHeight="1" s="189"/>
    <row r="162" ht="12.75" customHeight="1" s="189"/>
    <row r="163" ht="12.75" customHeight="1" s="189"/>
    <row r="164" ht="12.75" customHeight="1" s="189"/>
    <row r="165" ht="12.75" customHeight="1" s="189"/>
    <row r="166" ht="12.75" customHeight="1" s="189"/>
    <row r="167" ht="12.75" customHeight="1" s="189"/>
    <row r="168" ht="12.75" customHeight="1" s="189"/>
    <row r="169" ht="12.75" customHeight="1" s="189"/>
    <row r="170" ht="12.75" customHeight="1" s="189"/>
    <row r="171" ht="12.75" customHeight="1" s="189"/>
    <row r="172" ht="12.75" customHeight="1" s="189"/>
    <row r="173" ht="12.75" customHeight="1" s="189"/>
    <row r="174" ht="12.75" customHeight="1" s="189"/>
    <row r="175" ht="12.75" customHeight="1" s="189"/>
    <row r="176" ht="12.75" customHeight="1" s="189"/>
    <row r="177" ht="12.75" customHeight="1" s="189"/>
    <row r="178" ht="12.75" customHeight="1" s="189"/>
    <row r="179" ht="12.75" customHeight="1" s="189"/>
    <row r="180" ht="12.75" customHeight="1" s="189"/>
    <row r="181" ht="12.75" customHeight="1" s="189"/>
    <row r="182" ht="12.75" customHeight="1" s="189"/>
    <row r="183" ht="12.75" customHeight="1" s="189"/>
    <row r="184" ht="12.75" customHeight="1" s="189"/>
    <row r="185" ht="12.75" customHeight="1" s="189"/>
    <row r="186" ht="12.75" customHeight="1" s="189"/>
    <row r="187" ht="12.75" customHeight="1" s="189"/>
    <row r="188" ht="12.75" customHeight="1" s="189"/>
    <row r="189" ht="12.75" customHeight="1" s="189"/>
    <row r="190" ht="12.75" customHeight="1" s="189"/>
    <row r="191" ht="12.75" customHeight="1" s="189"/>
    <row r="192" ht="12.75" customHeight="1" s="189"/>
    <row r="193" ht="12.75" customHeight="1" s="189"/>
    <row r="194" ht="12.75" customHeight="1" s="189"/>
    <row r="195" ht="12.75" customHeight="1" s="189"/>
    <row r="196" ht="12.75" customHeight="1" s="189"/>
    <row r="197" ht="12.75" customHeight="1" s="189"/>
    <row r="198" ht="12.75" customHeight="1" s="189"/>
    <row r="199" ht="12.75" customHeight="1" s="189"/>
    <row r="200" ht="12.75" customHeight="1" s="189"/>
    <row r="201" ht="12.75" customHeight="1" s="189"/>
    <row r="202" ht="12.75" customHeight="1" s="189"/>
    <row r="203" ht="12.75" customHeight="1" s="189"/>
    <row r="204" ht="12.75" customHeight="1" s="189"/>
    <row r="205" ht="12.75" customHeight="1" s="189"/>
    <row r="206" ht="12.75" customHeight="1" s="189"/>
    <row r="207" ht="12.75" customHeight="1" s="189"/>
    <row r="208" ht="12.75" customHeight="1" s="189"/>
    <row r="209" ht="12.75" customHeight="1" s="189"/>
    <row r="210" ht="12.75" customHeight="1" s="189"/>
    <row r="211" ht="12.75" customHeight="1" s="189"/>
    <row r="212" ht="12.75" customHeight="1" s="189"/>
    <row r="213" ht="12.75" customHeight="1" s="189"/>
    <row r="214" ht="12.75" customHeight="1" s="189"/>
    <row r="215" ht="12.75" customHeight="1" s="189"/>
    <row r="216" ht="12.75" customHeight="1" s="189"/>
    <row r="217" ht="12.75" customHeight="1" s="189"/>
    <row r="218" ht="12.75" customHeight="1" s="189"/>
    <row r="219" ht="12.75" customHeight="1" s="189"/>
    <row r="220" ht="12.75" customHeight="1" s="189"/>
    <row r="221" ht="12.75" customHeight="1" s="189"/>
    <row r="222" ht="12.75" customHeight="1" s="189"/>
    <row r="223" ht="12.75" customHeight="1" s="189"/>
    <row r="224" ht="12.75" customHeight="1" s="189"/>
    <row r="225" ht="12.75" customHeight="1" s="189"/>
    <row r="226" ht="12.75" customHeight="1" s="189"/>
    <row r="227" ht="12.75" customHeight="1" s="189"/>
    <row r="228" ht="12.75" customHeight="1" s="189"/>
    <row r="229" ht="12.75" customHeight="1" s="189"/>
    <row r="230" ht="12.75" customHeight="1" s="189"/>
    <row r="231" ht="12.75" customHeight="1" s="189"/>
    <row r="232" ht="12.75" customHeight="1" s="189"/>
    <row r="233" ht="12.75" customHeight="1" s="189"/>
    <row r="234" ht="12.75" customHeight="1" s="189"/>
    <row r="235" ht="12.75" customHeight="1" s="189"/>
    <row r="236" ht="12.75" customHeight="1" s="189"/>
    <row r="237" ht="12.75" customHeight="1" s="189"/>
    <row r="238" ht="12.75" customHeight="1" s="189"/>
    <row r="239" ht="12.75" customHeight="1" s="189"/>
    <row r="240" ht="12.75" customHeight="1" s="189"/>
    <row r="241" ht="12.75" customHeight="1" s="189"/>
    <row r="242" ht="12.75" customHeight="1" s="189"/>
    <row r="243" ht="12.75" customHeight="1" s="189"/>
    <row r="244" ht="12.75" customHeight="1" s="189"/>
    <row r="245" ht="12.75" customHeight="1" s="189"/>
    <row r="246" ht="12.75" customHeight="1" s="189"/>
    <row r="247" ht="12.75" customHeight="1" s="189"/>
    <row r="248" ht="12.75" customHeight="1" s="189"/>
    <row r="249" ht="12.75" customHeight="1" s="189"/>
    <row r="250" ht="12.75" customHeight="1" s="189"/>
    <row r="251" ht="12.75" customHeight="1" s="189"/>
    <row r="252" ht="12.75" customHeight="1" s="189"/>
    <row r="253" ht="12.75" customHeight="1" s="189"/>
    <row r="254" ht="12.75" customHeight="1" s="189"/>
    <row r="255" ht="12.75" customHeight="1" s="189"/>
    <row r="256" ht="12.75" customHeight="1" s="189"/>
    <row r="257" ht="12.75" customHeight="1" s="189"/>
    <row r="258" ht="12.75" customHeight="1" s="189"/>
    <row r="259" ht="12.75" customHeight="1" s="189"/>
    <row r="260" ht="12.75" customHeight="1" s="189"/>
    <row r="261" ht="12.75" customHeight="1" s="189"/>
    <row r="262" ht="12.75" customHeight="1" s="189"/>
    <row r="263" ht="12.75" customHeight="1" s="189"/>
    <row r="264" ht="12.75" customHeight="1" s="189"/>
    <row r="265" ht="12.75" customHeight="1" s="189"/>
    <row r="266" ht="12.75" customHeight="1" s="189"/>
    <row r="267" ht="12.75" customHeight="1" s="189"/>
    <row r="268" ht="12.75" customHeight="1" s="189"/>
    <row r="269" ht="12.75" customHeight="1" s="189"/>
    <row r="270" ht="12.75" customHeight="1" s="189"/>
    <row r="271" ht="12.75" customHeight="1" s="189"/>
    <row r="272" ht="12.75" customHeight="1" s="189"/>
    <row r="273" ht="12.75" customHeight="1" s="189"/>
    <row r="274" ht="12.75" customHeight="1" s="189"/>
    <row r="275" ht="12.75" customHeight="1" s="189"/>
    <row r="276" ht="12.75" customHeight="1" s="189"/>
    <row r="277" ht="12.75" customHeight="1" s="189"/>
    <row r="278" ht="12.75" customHeight="1" s="189"/>
    <row r="279" ht="12.75" customHeight="1" s="189"/>
    <row r="280" ht="12.75" customHeight="1" s="189"/>
    <row r="281" ht="12.75" customHeight="1" s="189"/>
    <row r="282" ht="12.75" customHeight="1" s="189"/>
    <row r="283" ht="12.75" customHeight="1" s="189"/>
    <row r="284" ht="12.75" customHeight="1" s="189"/>
    <row r="285" ht="12.75" customHeight="1" s="189"/>
    <row r="286" ht="12.75" customHeight="1" s="189"/>
    <row r="287" ht="12.75" customHeight="1" s="189"/>
    <row r="288" ht="12.75" customHeight="1" s="189"/>
    <row r="289" ht="12.75" customHeight="1" s="189"/>
    <row r="290" ht="12.75" customHeight="1" s="189"/>
    <row r="291" ht="12.75" customHeight="1" s="189"/>
    <row r="292" ht="12.75" customHeight="1" s="189"/>
    <row r="293" ht="12.75" customHeight="1" s="189"/>
    <row r="294" ht="12.75" customHeight="1" s="189"/>
    <row r="295" ht="12.75" customHeight="1" s="189"/>
    <row r="296" ht="12.75" customHeight="1" s="189"/>
    <row r="297" ht="12.75" customHeight="1" s="189"/>
    <row r="298" ht="12.75" customHeight="1" s="189"/>
    <row r="299" ht="12.75" customHeight="1" s="189"/>
    <row r="300" ht="12.75" customHeight="1" s="189"/>
    <row r="301" ht="12.75" customHeight="1" s="189"/>
    <row r="302" ht="12.75" customHeight="1" s="189"/>
    <row r="303" ht="12.75" customHeight="1" s="189"/>
    <row r="304" ht="12.75" customHeight="1" s="189"/>
    <row r="305" ht="12.75" customHeight="1" s="189"/>
    <row r="306" ht="12.75" customHeight="1" s="189"/>
    <row r="307" ht="12.75" customHeight="1" s="189"/>
    <row r="308" ht="12.75" customHeight="1" s="189"/>
    <row r="309" ht="12.75" customHeight="1" s="189"/>
    <row r="310" ht="12.75" customHeight="1" s="189"/>
    <row r="311" ht="12.75" customHeight="1" s="189"/>
    <row r="312" ht="12.75" customHeight="1" s="189"/>
    <row r="313" ht="12.75" customHeight="1" s="189"/>
    <row r="314" ht="12.75" customHeight="1" s="189"/>
    <row r="315" ht="12.75" customHeight="1" s="189"/>
    <row r="316" ht="12.75" customHeight="1" s="189"/>
    <row r="317" ht="12.75" customHeight="1" s="189"/>
    <row r="318" ht="12.75" customHeight="1" s="189"/>
    <row r="319" ht="12.75" customHeight="1" s="189"/>
    <row r="320" ht="12.75" customHeight="1" s="189"/>
    <row r="321" ht="12.75" customHeight="1" s="189"/>
    <row r="322" ht="12.75" customHeight="1" s="189"/>
    <row r="323" ht="12.75" customHeight="1" s="189"/>
    <row r="324" ht="12.75" customHeight="1" s="189"/>
    <row r="325" ht="12.75" customHeight="1" s="189"/>
    <row r="326" ht="12.75" customHeight="1" s="189"/>
    <row r="327" ht="12.75" customHeight="1" s="189"/>
    <row r="328" ht="12.75" customHeight="1" s="189"/>
    <row r="329" ht="12.75" customHeight="1" s="189"/>
    <row r="330" ht="12.75" customHeight="1" s="189"/>
    <row r="331" ht="12.75" customHeight="1" s="189"/>
    <row r="332" ht="12.75" customHeight="1" s="189"/>
    <row r="333" ht="12.75" customHeight="1" s="189"/>
    <row r="334" ht="12.75" customHeight="1" s="189"/>
    <row r="335" ht="12.75" customHeight="1" s="189"/>
    <row r="336" ht="12.75" customHeight="1" s="189"/>
    <row r="337" ht="12.75" customHeight="1" s="189"/>
    <row r="338" ht="12.75" customHeight="1" s="189"/>
    <row r="339" ht="12.75" customHeight="1" s="189"/>
    <row r="340" ht="12.75" customHeight="1" s="189"/>
    <row r="341" ht="12.75" customHeight="1" s="189"/>
    <row r="342" ht="12.75" customHeight="1" s="189"/>
    <row r="343" ht="12.75" customHeight="1" s="189"/>
    <row r="344" ht="12.75" customHeight="1" s="189"/>
    <row r="345" ht="12.75" customHeight="1" s="189"/>
    <row r="346" ht="12.75" customHeight="1" s="189"/>
    <row r="347" ht="12.75" customHeight="1" s="189"/>
    <row r="348" ht="12.75" customHeight="1" s="189"/>
    <row r="349" ht="12.75" customHeight="1" s="189"/>
    <row r="350" ht="12.75" customHeight="1" s="189"/>
    <row r="351" ht="12.75" customHeight="1" s="189"/>
    <row r="352" ht="12.75" customHeight="1" s="189"/>
    <row r="353" ht="12.75" customHeight="1" s="189"/>
    <row r="354" ht="12.75" customHeight="1" s="189"/>
    <row r="355" ht="12.75" customHeight="1" s="189"/>
    <row r="356" ht="12.75" customHeight="1" s="189"/>
    <row r="357" ht="12.75" customHeight="1" s="189"/>
    <row r="358" ht="12.75" customHeight="1" s="189"/>
    <row r="359" ht="12.75" customHeight="1" s="189"/>
    <row r="360" ht="12.75" customHeight="1" s="189"/>
    <row r="361" ht="12.75" customHeight="1" s="189"/>
    <row r="362" ht="12.75" customHeight="1" s="189"/>
    <row r="363" ht="12.75" customHeight="1" s="189"/>
    <row r="364" ht="12.75" customHeight="1" s="189"/>
    <row r="365" ht="12.75" customHeight="1" s="189"/>
    <row r="366" ht="12.75" customHeight="1" s="189"/>
    <row r="367" ht="12.75" customHeight="1" s="189"/>
    <row r="368" ht="12.75" customHeight="1" s="189"/>
    <row r="369" ht="12.75" customHeight="1" s="189"/>
    <row r="370" ht="12.75" customHeight="1" s="189"/>
    <row r="371" ht="12.75" customHeight="1" s="189"/>
    <row r="372" ht="12.75" customHeight="1" s="189"/>
    <row r="373" ht="12.75" customHeight="1" s="189"/>
    <row r="374" ht="12.75" customHeight="1" s="189"/>
    <row r="375" ht="12.75" customHeight="1" s="189"/>
    <row r="376" ht="12.75" customHeight="1" s="189"/>
    <row r="377" ht="12.75" customHeight="1" s="189"/>
    <row r="378" ht="12.75" customHeight="1" s="189"/>
    <row r="379" ht="12.75" customHeight="1" s="189"/>
    <row r="380" ht="12.75" customHeight="1" s="189"/>
    <row r="381" ht="12.75" customHeight="1" s="189"/>
    <row r="382" ht="12.75" customHeight="1" s="189"/>
    <row r="383" ht="12.75" customHeight="1" s="189"/>
    <row r="384" ht="12.75" customHeight="1" s="189"/>
    <row r="385" ht="12.75" customHeight="1" s="189"/>
    <row r="386" ht="12.75" customHeight="1" s="189"/>
    <row r="387" ht="12.75" customHeight="1" s="189"/>
    <row r="388" ht="12.75" customHeight="1" s="189"/>
    <row r="389" ht="12.75" customHeight="1" s="189"/>
    <row r="390" ht="12.75" customHeight="1" s="189"/>
    <row r="391" ht="12.75" customHeight="1" s="189"/>
    <row r="392" ht="12.75" customHeight="1" s="189"/>
    <row r="393" ht="12.75" customHeight="1" s="189"/>
    <row r="394" ht="12.75" customHeight="1" s="189"/>
    <row r="395" ht="12.75" customHeight="1" s="189"/>
    <row r="396" ht="12.75" customHeight="1" s="189"/>
    <row r="397" ht="12.75" customHeight="1" s="189"/>
    <row r="398" ht="12.75" customHeight="1" s="189"/>
    <row r="399" ht="12.75" customHeight="1" s="189"/>
    <row r="400" ht="12.75" customHeight="1" s="189"/>
    <row r="401" ht="12.75" customHeight="1" s="189"/>
    <row r="402" ht="12.75" customHeight="1" s="189"/>
    <row r="403" ht="12.75" customHeight="1" s="189"/>
    <row r="404" ht="12.75" customHeight="1" s="189"/>
    <row r="405" ht="12.75" customHeight="1" s="189"/>
    <row r="406" ht="12.75" customHeight="1" s="189"/>
    <row r="407" ht="12.75" customHeight="1" s="189"/>
    <row r="408" ht="12.75" customHeight="1" s="189"/>
    <row r="409" ht="12.75" customHeight="1" s="189"/>
    <row r="410" ht="12.75" customHeight="1" s="189"/>
    <row r="411" ht="12.75" customHeight="1" s="189"/>
    <row r="412" ht="12.75" customHeight="1" s="189"/>
    <row r="413" ht="12.75" customHeight="1" s="189"/>
    <row r="414" ht="12.75" customHeight="1" s="189"/>
    <row r="415" ht="12.75" customHeight="1" s="189"/>
    <row r="416" ht="12.75" customHeight="1" s="189"/>
    <row r="417" ht="12.75" customHeight="1" s="189"/>
    <row r="418" ht="12.75" customHeight="1" s="189"/>
    <row r="419" ht="12.75" customHeight="1" s="189"/>
    <row r="420" ht="12.75" customHeight="1" s="189"/>
    <row r="421" ht="12.75" customHeight="1" s="189"/>
    <row r="422" ht="12.75" customHeight="1" s="189"/>
    <row r="423" ht="12.75" customHeight="1" s="189"/>
    <row r="424" ht="12.75" customHeight="1" s="189"/>
    <row r="425" ht="12.75" customHeight="1" s="189"/>
    <row r="426" ht="12.75" customHeight="1" s="189"/>
    <row r="427" ht="12.75" customHeight="1" s="189"/>
    <row r="428" ht="12.75" customHeight="1" s="189"/>
    <row r="429" ht="12.75" customHeight="1" s="189"/>
    <row r="430" ht="12.75" customHeight="1" s="189"/>
    <row r="431" ht="12.75" customHeight="1" s="189"/>
    <row r="432" ht="12.75" customHeight="1" s="189"/>
    <row r="433" ht="12.75" customHeight="1" s="189"/>
    <row r="434" ht="12.75" customHeight="1" s="189"/>
    <row r="435" ht="12.75" customHeight="1" s="189"/>
    <row r="436" ht="12.75" customHeight="1" s="189"/>
    <row r="437" ht="12.75" customHeight="1" s="189"/>
    <row r="438" ht="12.75" customHeight="1" s="189"/>
    <row r="439" ht="12.75" customHeight="1" s="189"/>
    <row r="440" ht="12.75" customHeight="1" s="189"/>
    <row r="441" ht="12.75" customHeight="1" s="189"/>
    <row r="442" ht="12.75" customHeight="1" s="189"/>
    <row r="443" ht="12.75" customHeight="1" s="189"/>
    <row r="444" ht="12.75" customHeight="1" s="189"/>
    <row r="445" ht="12.75" customHeight="1" s="189"/>
    <row r="446" ht="12.75" customHeight="1" s="189"/>
    <row r="447" ht="12.75" customHeight="1" s="189"/>
    <row r="448" ht="12.75" customHeight="1" s="189"/>
    <row r="449" ht="12.75" customHeight="1" s="189"/>
    <row r="450" ht="12.75" customHeight="1" s="189"/>
    <row r="451" ht="12.75" customHeight="1" s="189"/>
    <row r="452" ht="12.75" customHeight="1" s="189"/>
    <row r="453" ht="12.75" customHeight="1" s="189"/>
    <row r="454" ht="12.75" customHeight="1" s="189"/>
    <row r="455" ht="12.75" customHeight="1" s="189"/>
    <row r="456" ht="12.75" customHeight="1" s="189"/>
    <row r="457" ht="12.75" customHeight="1" s="189"/>
    <row r="458" ht="12.75" customHeight="1" s="189"/>
    <row r="459" ht="12.75" customHeight="1" s="189"/>
    <row r="460" ht="12.75" customHeight="1" s="189"/>
    <row r="461" ht="12.75" customHeight="1" s="189"/>
    <row r="462" ht="12.75" customHeight="1" s="189"/>
    <row r="463" ht="12.75" customHeight="1" s="189"/>
    <row r="464" ht="12.75" customHeight="1" s="189"/>
    <row r="465" ht="12.75" customHeight="1" s="189"/>
    <row r="466" ht="12.75" customHeight="1" s="189"/>
    <row r="467" ht="12.75" customHeight="1" s="189"/>
    <row r="468" ht="12.75" customHeight="1" s="189"/>
    <row r="469" ht="12.75" customHeight="1" s="189"/>
    <row r="470" ht="12.75" customHeight="1" s="189"/>
    <row r="471" ht="12.75" customHeight="1" s="189"/>
    <row r="472" ht="12.75" customHeight="1" s="189"/>
    <row r="473" ht="12.75" customHeight="1" s="189"/>
    <row r="474" ht="12.75" customHeight="1" s="189"/>
    <row r="475" ht="12.75" customHeight="1" s="189"/>
    <row r="476" ht="12.75" customHeight="1" s="189"/>
    <row r="477" ht="12.75" customHeight="1" s="189"/>
    <row r="478" ht="12.75" customHeight="1" s="189"/>
    <row r="479" ht="12.75" customHeight="1" s="189"/>
    <row r="480" ht="12.75" customHeight="1" s="189"/>
    <row r="481" ht="12.75" customHeight="1" s="189"/>
    <row r="482" ht="12.75" customHeight="1" s="189"/>
    <row r="483" ht="12.75" customHeight="1" s="189"/>
    <row r="484" ht="12.75" customHeight="1" s="189"/>
    <row r="485" ht="12.75" customHeight="1" s="189"/>
    <row r="486" ht="12.75" customHeight="1" s="189"/>
    <row r="487" ht="12.75" customHeight="1" s="189"/>
    <row r="488" ht="12.75" customHeight="1" s="189"/>
    <row r="489" ht="12.75" customHeight="1" s="189"/>
    <row r="490" ht="12.75" customHeight="1" s="189"/>
    <row r="491" ht="12.75" customHeight="1" s="189"/>
    <row r="492" ht="12.75" customHeight="1" s="189"/>
    <row r="493" ht="12.75" customHeight="1" s="189"/>
    <row r="494" ht="12.75" customHeight="1" s="189"/>
    <row r="495" ht="12.75" customHeight="1" s="189"/>
    <row r="496" ht="12.75" customHeight="1" s="189"/>
    <row r="497" ht="12.75" customHeight="1" s="189"/>
    <row r="498" ht="12.75" customHeight="1" s="189"/>
    <row r="499" ht="12.75" customHeight="1" s="189"/>
    <row r="500" ht="12.75" customHeight="1" s="189"/>
    <row r="501" ht="12.75" customHeight="1" s="189"/>
    <row r="502" ht="12.75" customHeight="1" s="189"/>
    <row r="503" ht="12.75" customHeight="1" s="189"/>
    <row r="504" ht="12.75" customHeight="1" s="189"/>
    <row r="505" ht="12.75" customHeight="1" s="189"/>
    <row r="506" ht="12.75" customHeight="1" s="189"/>
    <row r="507" ht="12.75" customHeight="1" s="189"/>
    <row r="508" ht="12.75" customHeight="1" s="189"/>
    <row r="509" ht="12.75" customHeight="1" s="189"/>
    <row r="510" ht="12.75" customHeight="1" s="189"/>
    <row r="511" ht="12.75" customHeight="1" s="189"/>
    <row r="512" ht="12.75" customHeight="1" s="189"/>
    <row r="513" ht="12.75" customHeight="1" s="189"/>
    <row r="514" ht="12.75" customHeight="1" s="189"/>
    <row r="515" ht="12.75" customHeight="1" s="189"/>
    <row r="516" ht="12.75" customHeight="1" s="189"/>
    <row r="517" ht="12.75" customHeight="1" s="189"/>
    <row r="518" ht="12.75" customHeight="1" s="189"/>
    <row r="519" ht="12.75" customHeight="1" s="189"/>
    <row r="520" ht="12.75" customHeight="1" s="189"/>
    <row r="521" ht="12.75" customHeight="1" s="189"/>
    <row r="522" ht="12.75" customHeight="1" s="189"/>
    <row r="523" ht="12.75" customHeight="1" s="189"/>
    <row r="524" ht="12.75" customHeight="1" s="189"/>
    <row r="525" ht="12.75" customHeight="1" s="189"/>
    <row r="526" ht="12.75" customHeight="1" s="189"/>
    <row r="527" ht="12.75" customHeight="1" s="189"/>
    <row r="528" ht="12.75" customHeight="1" s="189"/>
    <row r="529" ht="12.75" customHeight="1" s="189"/>
    <row r="530" ht="12.75" customHeight="1" s="189"/>
    <row r="531" ht="12.75" customHeight="1" s="189"/>
    <row r="532" ht="12.75" customHeight="1" s="189"/>
    <row r="533" ht="12.75" customHeight="1" s="189"/>
    <row r="534" ht="12.75" customHeight="1" s="189"/>
    <row r="535" ht="12.75" customHeight="1" s="189"/>
    <row r="536" ht="12.75" customHeight="1" s="189"/>
    <row r="537" ht="12.75" customHeight="1" s="189"/>
    <row r="538" ht="12.75" customHeight="1" s="189"/>
    <row r="539" ht="12.75" customHeight="1" s="189"/>
    <row r="540" ht="12.75" customHeight="1" s="189"/>
    <row r="541" ht="12.75" customHeight="1" s="189"/>
    <row r="542" ht="12.75" customHeight="1" s="189"/>
    <row r="543" ht="12.75" customHeight="1" s="189"/>
    <row r="544" ht="12.75" customHeight="1" s="189"/>
    <row r="545" ht="12.75" customHeight="1" s="189"/>
    <row r="546" ht="12.75" customHeight="1" s="189"/>
    <row r="547" ht="12.75" customHeight="1" s="189"/>
    <row r="548" ht="12.75" customHeight="1" s="189"/>
    <row r="549" ht="12.75" customHeight="1" s="189"/>
    <row r="550" ht="12.75" customHeight="1" s="189"/>
    <row r="551" ht="12.75" customHeight="1" s="189"/>
    <row r="552" ht="12.75" customHeight="1" s="189"/>
    <row r="553" ht="12.75" customHeight="1" s="189"/>
    <row r="554" ht="12.75" customHeight="1" s="189"/>
    <row r="555" ht="12.75" customHeight="1" s="189"/>
    <row r="556" ht="12.75" customHeight="1" s="189"/>
    <row r="557" ht="12.75" customHeight="1" s="189"/>
    <row r="558" ht="12.75" customHeight="1" s="189"/>
    <row r="559" ht="12.75" customHeight="1" s="189"/>
    <row r="560" ht="12.75" customHeight="1" s="189"/>
    <row r="561" ht="12.75" customHeight="1" s="189"/>
    <row r="562" ht="12.75" customHeight="1" s="189"/>
    <row r="563" ht="12.75" customHeight="1" s="189"/>
    <row r="564" ht="12.75" customHeight="1" s="189"/>
    <row r="565" ht="12.75" customHeight="1" s="189"/>
    <row r="566" ht="12.75" customHeight="1" s="189"/>
    <row r="567" ht="12.75" customHeight="1" s="189"/>
    <row r="568" ht="12.75" customHeight="1" s="189"/>
    <row r="569" ht="12.75" customHeight="1" s="189"/>
    <row r="570" ht="12.75" customHeight="1" s="189"/>
    <row r="571" ht="12.75" customHeight="1" s="189"/>
    <row r="572" ht="12.75" customHeight="1" s="189"/>
    <row r="573" ht="12.75" customHeight="1" s="189"/>
    <row r="574" ht="12.75" customHeight="1" s="189"/>
    <row r="575" ht="12.75" customHeight="1" s="189"/>
    <row r="576" ht="12.75" customHeight="1" s="189"/>
    <row r="577" ht="12.75" customHeight="1" s="189"/>
    <row r="578" ht="12.75" customHeight="1" s="189"/>
    <row r="579" ht="12.75" customHeight="1" s="189"/>
    <row r="580" ht="12.75" customHeight="1" s="189"/>
    <row r="581" ht="12.75" customHeight="1" s="189"/>
    <row r="582" ht="12.75" customHeight="1" s="189"/>
    <row r="583" ht="12.75" customHeight="1" s="189"/>
    <row r="584" ht="12.75" customHeight="1" s="189"/>
    <row r="585" ht="12.75" customHeight="1" s="189"/>
    <row r="586" ht="12.75" customHeight="1" s="189"/>
    <row r="587" ht="12.75" customHeight="1" s="189"/>
    <row r="588" ht="12.75" customHeight="1" s="189"/>
    <row r="589" ht="12.75" customHeight="1" s="189"/>
    <row r="590" ht="12.75" customHeight="1" s="189"/>
    <row r="591" ht="12.75" customHeight="1" s="189"/>
    <row r="592" ht="12.75" customHeight="1" s="189"/>
    <row r="593" ht="12.75" customHeight="1" s="189"/>
    <row r="594" ht="12.75" customHeight="1" s="189"/>
    <row r="595" ht="12.75" customHeight="1" s="189"/>
    <row r="596" ht="12.75" customHeight="1" s="189"/>
    <row r="597" ht="12.75" customHeight="1" s="189"/>
    <row r="598" ht="12.75" customHeight="1" s="189"/>
    <row r="599" ht="12.75" customHeight="1" s="189"/>
    <row r="600" ht="12.75" customHeight="1" s="189"/>
    <row r="601" ht="12.75" customHeight="1" s="189"/>
    <row r="602" ht="12.75" customHeight="1" s="189"/>
    <row r="603" ht="12.75" customHeight="1" s="189"/>
    <row r="604" ht="12.75" customHeight="1" s="189"/>
    <row r="605" ht="12.75" customHeight="1" s="189"/>
    <row r="606" ht="12.75" customHeight="1" s="189"/>
    <row r="607" ht="12.75" customHeight="1" s="189"/>
    <row r="608" ht="12.75" customHeight="1" s="189"/>
    <row r="609" ht="12.75" customHeight="1" s="189"/>
    <row r="610" ht="12.75" customHeight="1" s="189"/>
    <row r="611" ht="12.75" customHeight="1" s="189"/>
    <row r="612" ht="12.75" customHeight="1" s="189"/>
    <row r="613" ht="12.75" customHeight="1" s="189"/>
    <row r="614" ht="12.75" customHeight="1" s="189"/>
    <row r="615" ht="12.75" customHeight="1" s="189"/>
    <row r="616" ht="12.75" customHeight="1" s="189"/>
    <row r="617" ht="12.75" customHeight="1" s="189"/>
    <row r="618" ht="12.75" customHeight="1" s="189"/>
    <row r="619" ht="12.75" customHeight="1" s="189"/>
    <row r="620" ht="12.75" customHeight="1" s="189"/>
    <row r="621" ht="12.75" customHeight="1" s="189"/>
    <row r="622" ht="12.75" customHeight="1" s="189"/>
    <row r="623" ht="12.75" customHeight="1" s="189"/>
    <row r="624" ht="12.75" customHeight="1" s="189"/>
    <row r="625" ht="12.75" customHeight="1" s="189"/>
    <row r="626" ht="12.75" customHeight="1" s="189"/>
    <row r="627" ht="12.75" customHeight="1" s="189"/>
    <row r="628" ht="12.75" customHeight="1" s="189"/>
    <row r="629" ht="12.75" customHeight="1" s="189"/>
    <row r="630" ht="12.75" customHeight="1" s="189"/>
    <row r="631" ht="12.75" customHeight="1" s="189"/>
    <row r="632" ht="12.75" customHeight="1" s="189"/>
    <row r="633" ht="12.75" customHeight="1" s="189"/>
    <row r="634" ht="12.75" customHeight="1" s="189"/>
    <row r="635" ht="12.75" customHeight="1" s="189"/>
    <row r="636" ht="12.75" customHeight="1" s="189"/>
    <row r="637" ht="12.75" customHeight="1" s="189"/>
    <row r="638" ht="12.75" customHeight="1" s="189"/>
    <row r="639" ht="12.75" customHeight="1" s="189"/>
    <row r="640" ht="12.75" customHeight="1" s="189"/>
    <row r="641" ht="12.75" customHeight="1" s="189"/>
    <row r="642" ht="12.75" customHeight="1" s="189"/>
    <row r="643" ht="12.75" customHeight="1" s="189"/>
    <row r="644" ht="12.75" customHeight="1" s="189"/>
    <row r="645" ht="12.75" customHeight="1" s="189"/>
    <row r="646" ht="12.75" customHeight="1" s="189"/>
    <row r="647" ht="12.75" customHeight="1" s="189"/>
    <row r="648" ht="12.75" customHeight="1" s="189"/>
    <row r="649" ht="12.75" customHeight="1" s="189"/>
    <row r="650" ht="12.75" customHeight="1" s="189"/>
    <row r="651" ht="12.75" customHeight="1" s="189"/>
    <row r="652" ht="12.75" customHeight="1" s="189"/>
    <row r="653" ht="12.75" customHeight="1" s="189"/>
    <row r="654" ht="12.75" customHeight="1" s="189"/>
    <row r="655" ht="12.75" customHeight="1" s="189"/>
    <row r="656" ht="12.75" customHeight="1" s="189"/>
    <row r="657" ht="12.75" customHeight="1" s="189"/>
    <row r="658" ht="12.75" customHeight="1" s="189"/>
    <row r="659" ht="12.75" customHeight="1" s="189"/>
    <row r="660" ht="12.75" customHeight="1" s="189"/>
    <row r="661" ht="12.75" customHeight="1" s="189"/>
    <row r="662" ht="12.75" customHeight="1" s="189"/>
    <row r="663" ht="12.75" customHeight="1" s="189"/>
    <row r="664" ht="12.75" customHeight="1" s="189"/>
    <row r="665" ht="12.75" customHeight="1" s="189"/>
    <row r="666" ht="12.75" customHeight="1" s="189"/>
    <row r="667" ht="12.75" customHeight="1" s="189"/>
    <row r="668" ht="12.75" customHeight="1" s="189"/>
    <row r="669" ht="12.75" customHeight="1" s="189"/>
    <row r="670" ht="12.75" customHeight="1" s="189"/>
    <row r="671" ht="12.75" customHeight="1" s="189"/>
    <row r="672" ht="12.75" customHeight="1" s="189"/>
    <row r="673" ht="12.75" customHeight="1" s="189"/>
    <row r="674" ht="12.75" customHeight="1" s="189"/>
    <row r="675" ht="12.75" customHeight="1" s="189"/>
    <row r="676" ht="12.75" customHeight="1" s="189"/>
    <row r="677" ht="12.75" customHeight="1" s="189"/>
    <row r="678" ht="12.75" customHeight="1" s="189"/>
    <row r="679" ht="12.75" customHeight="1" s="189"/>
    <row r="680" ht="12.75" customHeight="1" s="189"/>
    <row r="681" ht="12.75" customHeight="1" s="189"/>
    <row r="682" ht="12.75" customHeight="1" s="189"/>
    <row r="683" ht="12.75" customHeight="1" s="189"/>
    <row r="684" ht="12.75" customHeight="1" s="189"/>
    <row r="685" ht="12.75" customHeight="1" s="189"/>
    <row r="686" ht="12.75" customHeight="1" s="189"/>
    <row r="687" ht="12.75" customHeight="1" s="189"/>
    <row r="688" ht="12.75" customHeight="1" s="189"/>
    <row r="689" ht="12.75" customHeight="1" s="189"/>
    <row r="690" ht="12.75" customHeight="1" s="189"/>
    <row r="691" ht="12.75" customHeight="1" s="189"/>
    <row r="692" ht="12.75" customHeight="1" s="189"/>
    <row r="693" ht="12.75" customHeight="1" s="189"/>
    <row r="694" ht="12.75" customHeight="1" s="189"/>
    <row r="695" ht="12.75" customHeight="1" s="189"/>
    <row r="696" ht="12.75" customHeight="1" s="189"/>
    <row r="697" ht="12.75" customHeight="1" s="189"/>
    <row r="698" ht="12.75" customHeight="1" s="189"/>
    <row r="699" ht="12.75" customHeight="1" s="189"/>
    <row r="700" ht="12.75" customHeight="1" s="189"/>
    <row r="701" ht="12.75" customHeight="1" s="189"/>
    <row r="702" ht="12.75" customHeight="1" s="189"/>
    <row r="703" ht="12.75" customHeight="1" s="189"/>
    <row r="704" ht="12.75" customHeight="1" s="189"/>
    <row r="705" ht="12.75" customHeight="1" s="189"/>
    <row r="706" ht="12.75" customHeight="1" s="189"/>
    <row r="707" ht="12.75" customHeight="1" s="189"/>
    <row r="708" ht="12.75" customHeight="1" s="189"/>
    <row r="709" ht="12.75" customHeight="1" s="189"/>
    <row r="710" ht="12.75" customHeight="1" s="189"/>
    <row r="711" ht="12.75" customHeight="1" s="189"/>
    <row r="712" ht="12.75" customHeight="1" s="189"/>
    <row r="713" ht="12.75" customHeight="1" s="189"/>
    <row r="714" ht="12.75" customHeight="1" s="189"/>
    <row r="715" ht="12.75" customHeight="1" s="189"/>
    <row r="716" ht="12.75" customHeight="1" s="189"/>
    <row r="717" ht="12.75" customHeight="1" s="189"/>
    <row r="718" ht="12.75" customHeight="1" s="189"/>
    <row r="719" ht="12.75" customHeight="1" s="189"/>
    <row r="720" ht="12.75" customHeight="1" s="189"/>
    <row r="721" ht="12.75" customHeight="1" s="189"/>
    <row r="722" ht="12.75" customHeight="1" s="189"/>
    <row r="723" ht="12.75" customHeight="1" s="189"/>
    <row r="724" ht="12.75" customHeight="1" s="189"/>
    <row r="725" ht="12.75" customHeight="1" s="189"/>
    <row r="726" ht="12.75" customHeight="1" s="189"/>
    <row r="727" ht="12.75" customHeight="1" s="189"/>
    <row r="728" ht="12.75" customHeight="1" s="189"/>
    <row r="729" ht="12.75" customHeight="1" s="189"/>
    <row r="730" ht="12.75" customHeight="1" s="189"/>
    <row r="731" ht="12.75" customHeight="1" s="189"/>
    <row r="732" ht="12.75" customHeight="1" s="189"/>
    <row r="733" ht="12.75" customHeight="1" s="189"/>
    <row r="734" ht="12.75" customHeight="1" s="189"/>
    <row r="735" ht="12.75" customHeight="1" s="189"/>
    <row r="736" ht="12.75" customHeight="1" s="189"/>
    <row r="737" ht="12.75" customHeight="1" s="189"/>
    <row r="738" ht="12.75" customHeight="1" s="189"/>
    <row r="739" ht="12.75" customHeight="1" s="189"/>
    <row r="740" ht="12.75" customHeight="1" s="189"/>
    <row r="741" ht="12.75" customHeight="1" s="189"/>
    <row r="742" ht="12.75" customHeight="1" s="189"/>
    <row r="743" ht="12.75" customHeight="1" s="189"/>
    <row r="744" ht="12.75" customHeight="1" s="189"/>
    <row r="745" ht="12.75" customHeight="1" s="189"/>
    <row r="746" ht="12.75" customHeight="1" s="189"/>
    <row r="747" ht="12.75" customHeight="1" s="189"/>
    <row r="748" ht="12.75" customHeight="1" s="189"/>
    <row r="749" ht="12.75" customHeight="1" s="189"/>
    <row r="750" ht="12.75" customHeight="1" s="189"/>
    <row r="751" ht="12.75" customHeight="1" s="189"/>
    <row r="752" ht="12.75" customHeight="1" s="189"/>
    <row r="753" ht="12.75" customHeight="1" s="189"/>
    <row r="754" ht="12.75" customHeight="1" s="189"/>
    <row r="755" ht="12.75" customHeight="1" s="189"/>
    <row r="756" ht="12.75" customHeight="1" s="189"/>
    <row r="757" ht="12.75" customHeight="1" s="189"/>
    <row r="758" ht="12.75" customHeight="1" s="189"/>
    <row r="759" ht="12.75" customHeight="1" s="189"/>
    <row r="760" ht="12.75" customHeight="1" s="189"/>
    <row r="761" ht="12.75" customHeight="1" s="189"/>
    <row r="762" ht="12.75" customHeight="1" s="189"/>
    <row r="763" ht="12.75" customHeight="1" s="189"/>
    <row r="764" ht="12.75" customHeight="1" s="189"/>
    <row r="765" ht="12.75" customHeight="1" s="189"/>
    <row r="766" ht="12.75" customHeight="1" s="189"/>
    <row r="767" ht="12.75" customHeight="1" s="189"/>
    <row r="768" ht="12.75" customHeight="1" s="189"/>
    <row r="769" ht="12.75" customHeight="1" s="189"/>
    <row r="770" ht="12.75" customHeight="1" s="189"/>
    <row r="771" ht="12.75" customHeight="1" s="189"/>
    <row r="772" ht="12.75" customHeight="1" s="189"/>
    <row r="773" ht="12.75" customHeight="1" s="189"/>
    <row r="774" ht="12.75" customHeight="1" s="189"/>
    <row r="775" ht="12.75" customHeight="1" s="189"/>
    <row r="776" ht="12.75" customHeight="1" s="189"/>
    <row r="777" ht="12.75" customHeight="1" s="189"/>
    <row r="778" ht="12.75" customHeight="1" s="189"/>
    <row r="779" ht="12.75" customHeight="1" s="189"/>
    <row r="780" ht="12.75" customHeight="1" s="189"/>
    <row r="781" ht="12.75" customHeight="1" s="189"/>
    <row r="782" ht="12.75" customHeight="1" s="189"/>
    <row r="783" ht="12.75" customHeight="1" s="189"/>
    <row r="784" ht="12.75" customHeight="1" s="189"/>
    <row r="785" ht="12.75" customHeight="1" s="189"/>
    <row r="786" ht="12.75" customHeight="1" s="189"/>
    <row r="787" ht="12.75" customHeight="1" s="189"/>
    <row r="788" ht="12.75" customHeight="1" s="189"/>
    <row r="789" ht="12.75" customHeight="1" s="189"/>
    <row r="790" ht="12.75" customHeight="1" s="189"/>
    <row r="791" ht="12.75" customHeight="1" s="189"/>
    <row r="792" ht="12.75" customHeight="1" s="189"/>
    <row r="793" ht="12.75" customHeight="1" s="189"/>
    <row r="794" ht="12.75" customHeight="1" s="189"/>
    <row r="795" ht="12.75" customHeight="1" s="189"/>
    <row r="796" ht="12.75" customHeight="1" s="189"/>
    <row r="797" ht="12.75" customHeight="1" s="189"/>
    <row r="798" ht="12.75" customHeight="1" s="189"/>
    <row r="799" ht="12.75" customHeight="1" s="189"/>
    <row r="800" ht="12.75" customHeight="1" s="189"/>
    <row r="801" ht="12.75" customHeight="1" s="189"/>
    <row r="802" ht="12.75" customHeight="1" s="189"/>
    <row r="803" ht="12.75" customHeight="1" s="189"/>
    <row r="804" ht="12.75" customHeight="1" s="189"/>
    <row r="805" ht="12.75" customHeight="1" s="189"/>
    <row r="806" ht="12.75" customHeight="1" s="189"/>
    <row r="807" ht="12.75" customHeight="1" s="189"/>
    <row r="808" ht="12.75" customHeight="1" s="189"/>
    <row r="809" ht="12.75" customHeight="1" s="189"/>
    <row r="810" ht="12.75" customHeight="1" s="189"/>
    <row r="811" ht="12.75" customHeight="1" s="189"/>
    <row r="812" ht="12.75" customHeight="1" s="189"/>
    <row r="813" ht="12.75" customHeight="1" s="189"/>
    <row r="814" ht="12.75" customHeight="1" s="189"/>
    <row r="815" ht="12.75" customHeight="1" s="189"/>
    <row r="816" ht="12.75" customHeight="1" s="189"/>
    <row r="817" ht="12.75" customHeight="1" s="189"/>
    <row r="818" ht="12.75" customHeight="1" s="189"/>
    <row r="819" ht="12.75" customHeight="1" s="189"/>
    <row r="820" ht="12.75" customHeight="1" s="189"/>
    <row r="821" ht="12.75" customHeight="1" s="189"/>
    <row r="822" ht="12.75" customHeight="1" s="189"/>
    <row r="823" ht="12.75" customHeight="1" s="189"/>
    <row r="824" ht="12.75" customHeight="1" s="189"/>
    <row r="825" ht="12.75" customHeight="1" s="189"/>
    <row r="826" ht="12.75" customHeight="1" s="189"/>
    <row r="827" ht="12.75" customHeight="1" s="189"/>
    <row r="828" ht="12.75" customHeight="1" s="189"/>
    <row r="829" ht="12.75" customHeight="1" s="189"/>
    <row r="830" ht="12.75" customHeight="1" s="189"/>
    <row r="831" ht="12.75" customHeight="1" s="189"/>
    <row r="832" ht="12.75" customHeight="1" s="189"/>
    <row r="833" ht="12.75" customHeight="1" s="189"/>
    <row r="834" ht="12.75" customHeight="1" s="189"/>
    <row r="835" ht="12.75" customHeight="1" s="189"/>
    <row r="836" ht="12.75" customHeight="1" s="189"/>
    <row r="837" ht="12.75" customHeight="1" s="189"/>
    <row r="838" ht="12.75" customHeight="1" s="189"/>
    <row r="839" ht="12.75" customHeight="1" s="189"/>
    <row r="840" ht="12.75" customHeight="1" s="189"/>
    <row r="841" ht="12.75" customHeight="1" s="189"/>
    <row r="842" ht="12.75" customHeight="1" s="189"/>
    <row r="843" ht="12.75" customHeight="1" s="189"/>
    <row r="844" ht="12.75" customHeight="1" s="189"/>
    <row r="845" ht="12.75" customHeight="1" s="189"/>
    <row r="846" ht="12.75" customHeight="1" s="189"/>
    <row r="847" ht="12.75" customHeight="1" s="189"/>
    <row r="848" ht="12.75" customHeight="1" s="189"/>
    <row r="849" ht="12.75" customHeight="1" s="189"/>
    <row r="850" ht="12.75" customHeight="1" s="189"/>
    <row r="851" ht="12.75" customHeight="1" s="189"/>
    <row r="852" ht="12.75" customHeight="1" s="189"/>
    <row r="853" ht="12.75" customHeight="1" s="189"/>
    <row r="854" ht="12.75" customHeight="1" s="189"/>
    <row r="855" ht="12.75" customHeight="1" s="189"/>
    <row r="856" ht="12.75" customHeight="1" s="189"/>
    <row r="857" ht="12.75" customHeight="1" s="189"/>
    <row r="858" ht="12.75" customHeight="1" s="189"/>
    <row r="859" ht="12.75" customHeight="1" s="189"/>
    <row r="860" ht="12.75" customHeight="1" s="189"/>
    <row r="861" ht="12.75" customHeight="1" s="189"/>
    <row r="862" ht="12.75" customHeight="1" s="189"/>
    <row r="863" ht="12.75" customHeight="1" s="189"/>
    <row r="864" ht="12.75" customHeight="1" s="189"/>
    <row r="865" ht="12.75" customHeight="1" s="189"/>
    <row r="866" ht="12.75" customHeight="1" s="189"/>
    <row r="867" ht="12.75" customHeight="1" s="189"/>
    <row r="868" ht="12.75" customHeight="1" s="189"/>
    <row r="869" ht="12.75" customHeight="1" s="189"/>
    <row r="870" ht="12.75" customHeight="1" s="189"/>
    <row r="871" ht="12.75" customHeight="1" s="189"/>
    <row r="872" ht="12.75" customHeight="1" s="189"/>
    <row r="873" ht="12.75" customHeight="1" s="189"/>
    <row r="874" ht="12.75" customHeight="1" s="189"/>
    <row r="875" ht="12.75" customHeight="1" s="189"/>
    <row r="876" ht="12.75" customHeight="1" s="189"/>
    <row r="877" ht="12.75" customHeight="1" s="189"/>
    <row r="878" ht="12.75" customHeight="1" s="189"/>
    <row r="879" ht="12.75" customHeight="1" s="189"/>
    <row r="880" ht="12.75" customHeight="1" s="189"/>
    <row r="881" ht="12.75" customHeight="1" s="189"/>
    <row r="882" ht="12.75" customHeight="1" s="189"/>
    <row r="883" ht="12.75" customHeight="1" s="189"/>
    <row r="884" ht="12.75" customHeight="1" s="189"/>
    <row r="885" ht="12.75" customHeight="1" s="189"/>
    <row r="886" ht="12.75" customHeight="1" s="189"/>
    <row r="887" ht="12.75" customHeight="1" s="189"/>
    <row r="888" ht="12.75" customHeight="1" s="189"/>
    <row r="889" ht="12.75" customHeight="1" s="189"/>
    <row r="890" ht="12.75" customHeight="1" s="189"/>
    <row r="891" ht="12.75" customHeight="1" s="189"/>
    <row r="892" ht="12.75" customHeight="1" s="189"/>
    <row r="893" ht="12.75" customHeight="1" s="189"/>
    <row r="894" ht="12.75" customHeight="1" s="189"/>
    <row r="895" ht="12.75" customHeight="1" s="189"/>
    <row r="896" ht="12.75" customHeight="1" s="189"/>
    <row r="897" ht="12.75" customHeight="1" s="189"/>
    <row r="898" ht="12.75" customHeight="1" s="189"/>
    <row r="899" ht="12.75" customHeight="1" s="189"/>
    <row r="900" ht="12.75" customHeight="1" s="189"/>
    <row r="901" ht="12.75" customHeight="1" s="189"/>
    <row r="902" ht="12.75" customHeight="1" s="189"/>
    <row r="903" ht="12.75" customHeight="1" s="189"/>
    <row r="904" ht="12.75" customHeight="1" s="189"/>
    <row r="905" ht="12.75" customHeight="1" s="189"/>
    <row r="906" ht="12.75" customHeight="1" s="189"/>
    <row r="907" ht="12.75" customHeight="1" s="189"/>
    <row r="908" ht="12.75" customHeight="1" s="189"/>
    <row r="909" ht="12.75" customHeight="1" s="189"/>
    <row r="910" ht="12.75" customHeight="1" s="189"/>
    <row r="911" ht="12.75" customHeight="1" s="189"/>
    <row r="912" ht="12.75" customHeight="1" s="189"/>
    <row r="913" ht="12.75" customHeight="1" s="189"/>
    <row r="914" ht="12.75" customHeight="1" s="189"/>
    <row r="915" ht="12.75" customHeight="1" s="189"/>
    <row r="916" ht="12.75" customHeight="1" s="189"/>
    <row r="917" ht="12.75" customHeight="1" s="189"/>
    <row r="918" ht="12.75" customHeight="1" s="189"/>
    <row r="919" ht="12.75" customHeight="1" s="189"/>
    <row r="920" ht="12.75" customHeight="1" s="189"/>
    <row r="921" ht="12.75" customHeight="1" s="189"/>
    <row r="922" ht="12.75" customHeight="1" s="189"/>
    <row r="923" ht="12.75" customHeight="1" s="189"/>
    <row r="924" ht="12.75" customHeight="1" s="189"/>
    <row r="925" ht="12.75" customHeight="1" s="189"/>
    <row r="926" ht="12.75" customHeight="1" s="189"/>
    <row r="927" ht="12.75" customHeight="1" s="189"/>
    <row r="928" ht="12.75" customHeight="1" s="189"/>
    <row r="929" ht="12.75" customHeight="1" s="189"/>
    <row r="930" ht="12.75" customHeight="1" s="189"/>
    <row r="931" ht="12.75" customHeight="1" s="189"/>
    <row r="932" ht="12.75" customHeight="1" s="189"/>
    <row r="933" ht="12.75" customHeight="1" s="189"/>
    <row r="934" ht="12.75" customHeight="1" s="189"/>
    <row r="935" ht="12.75" customHeight="1" s="189"/>
    <row r="936" ht="12.75" customHeight="1" s="189"/>
    <row r="937" ht="12.75" customHeight="1" s="189"/>
    <row r="938" ht="12.75" customHeight="1" s="189"/>
    <row r="939" ht="12.75" customHeight="1" s="189"/>
    <row r="940" ht="12.75" customHeight="1" s="189"/>
    <row r="941" ht="12.75" customHeight="1" s="189"/>
    <row r="942" ht="12.75" customHeight="1" s="189"/>
    <row r="943" ht="12.75" customHeight="1" s="189"/>
    <row r="944" ht="12.75" customHeight="1" s="189"/>
    <row r="945" ht="12.75" customHeight="1" s="189"/>
    <row r="946" ht="12.75" customHeight="1" s="189"/>
    <row r="947" ht="12.75" customHeight="1" s="189"/>
    <row r="948" ht="12.75" customHeight="1" s="189"/>
    <row r="949" ht="12.75" customHeight="1" s="189"/>
    <row r="950" ht="12.75" customHeight="1" s="189"/>
    <row r="951" ht="12.75" customHeight="1" s="189"/>
    <row r="952" ht="12.75" customHeight="1" s="189"/>
    <row r="953" ht="12.75" customHeight="1" s="189"/>
    <row r="954" ht="12.75" customHeight="1" s="189"/>
    <row r="955" ht="12.75" customHeight="1" s="189"/>
    <row r="956" ht="12.75" customHeight="1" s="189"/>
    <row r="957" ht="12.75" customHeight="1" s="189"/>
    <row r="958" ht="12.75" customHeight="1" s="189"/>
    <row r="959" ht="12.75" customHeight="1" s="189"/>
    <row r="960" ht="12.75" customHeight="1" s="189"/>
    <row r="961" ht="12.75" customHeight="1" s="189"/>
    <row r="962" ht="12.75" customHeight="1" s="189"/>
    <row r="963" ht="12.75" customHeight="1" s="189"/>
    <row r="964" ht="12.75" customHeight="1" s="189"/>
    <row r="965" ht="12.75" customHeight="1" s="189"/>
    <row r="966" ht="12.75" customHeight="1" s="189"/>
    <row r="967" ht="12.75" customHeight="1" s="189"/>
    <row r="968" ht="12.75" customHeight="1" s="189"/>
    <row r="969" ht="12.75" customHeight="1" s="189"/>
    <row r="970" ht="12.75" customHeight="1" s="189"/>
    <row r="971" ht="12.75" customHeight="1" s="189"/>
    <row r="972" ht="12.75" customHeight="1" s="189"/>
    <row r="973" ht="12.75" customHeight="1" s="189"/>
    <row r="974" ht="12.75" customHeight="1" s="189"/>
    <row r="975" ht="12.75" customHeight="1" s="189"/>
    <row r="976" ht="12.75" customHeight="1" s="189"/>
    <row r="977" ht="12.75" customHeight="1" s="189"/>
    <row r="978" ht="12.75" customHeight="1" s="189"/>
    <row r="979" ht="12.75" customHeight="1" s="189"/>
    <row r="980" ht="12.75" customHeight="1" s="189"/>
    <row r="981" ht="12.75" customHeight="1" s="189"/>
    <row r="982" ht="12.75" customHeight="1" s="189"/>
    <row r="983" ht="12.75" customHeight="1" s="189"/>
    <row r="984" ht="12.75" customHeight="1" s="189"/>
    <row r="985" ht="12.75" customHeight="1" s="189"/>
    <row r="986" ht="12.75" customHeight="1" s="189"/>
    <row r="987" ht="12.75" customHeight="1" s="189"/>
    <row r="988" ht="12.75" customHeight="1" s="189"/>
    <row r="989" ht="12.75" customHeight="1" s="189"/>
    <row r="990" ht="12.75" customHeight="1" s="189"/>
    <row r="991" ht="12.75" customHeight="1" s="189"/>
    <row r="992" ht="12.75" customHeight="1" s="189"/>
    <row r="993" ht="12.75" customHeight="1" s="189"/>
    <row r="994" ht="12.75" customHeight="1" s="189"/>
    <row r="995" ht="12.75" customHeight="1" s="189"/>
    <row r="996" ht="12.75" customHeight="1" s="189"/>
    <row r="997" ht="12.75" customHeight="1" s="189"/>
    <row r="998" ht="12.75" customHeight="1" s="189"/>
    <row r="999" ht="12.75" customHeight="1" s="189"/>
    <row r="1000" ht="12.75" customHeight="1" s="189"/>
  </sheetData>
  <mergeCells count="8">
    <mergeCell ref="A19:C19"/>
    <mergeCell ref="A23:C23"/>
    <mergeCell ref="A22:C22"/>
    <mergeCell ref="A17:C17"/>
    <mergeCell ref="A18:C18"/>
    <mergeCell ref="A21:C21"/>
    <mergeCell ref="A20:C20"/>
    <mergeCell ref="A16:C16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Owner</dc:creator>
  <dcterms:created xsi:type="dcterms:W3CDTF">2005-01-11T13:43:58Z</dcterms:created>
  <dcterms:modified xsi:type="dcterms:W3CDTF">2026-10-28T13:21:11Z</dcterms:modified>
</cp:coreProperties>
</file>